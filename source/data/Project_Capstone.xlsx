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on4\Documents\GitHub\Viviane_Projeto\source\data\"/>
    </mc:Choice>
  </mc:AlternateContent>
  <xr:revisionPtr revIDLastSave="0" documentId="13_ncr:1_{9D85D0D2-0D9F-411F-B7F4-261228725058}" xr6:coauthVersionLast="47" xr6:coauthVersionMax="47" xr10:uidLastSave="{00000000-0000-0000-0000-000000000000}"/>
  <bookViews>
    <workbookView xWindow="28680" yWindow="-120" windowWidth="20640" windowHeight="11040" tabRatio="500" activeTab="2" xr2:uid="{00000000-000D-0000-FFFF-FFFF00000000}"/>
  </bookViews>
  <sheets>
    <sheet name="Parâmetros" sheetId="7" r:id="rId1"/>
    <sheet name="SETEMBRO 2024" sheetId="1" r:id="rId2"/>
    <sheet name="OUTUBRO 2024" sheetId="2" r:id="rId3"/>
    <sheet name="NOVEMBRO 2024" sheetId="3" r:id="rId4"/>
    <sheet name="DEZEMBRO 2024" sheetId="4" r:id="rId5"/>
    <sheet name="JANEIRO 2025" sheetId="5" r:id="rId6"/>
    <sheet name="FEVEREIRO 2025" sheetId="6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1" l="1"/>
  <c r="J3" i="3"/>
  <c r="J3" i="4"/>
  <c r="J3" i="6"/>
  <c r="J3" i="5"/>
  <c r="E3" i="1" a="1"/>
  <c r="E3" i="1" s="1"/>
  <c r="G3" i="1" s="1" a="1"/>
  <c r="G3" i="1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3" i="6" a="1"/>
  <c r="G3" i="6" s="1"/>
  <c r="G4" i="6" a="1"/>
  <c r="G4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6" i="6" a="1"/>
  <c r="G16" i="6" s="1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  <c r="G23" i="6" a="1"/>
  <c r="G23" i="6" s="1"/>
  <c r="G24" i="6" a="1"/>
  <c r="G24" i="6" s="1"/>
  <c r="G25" i="6" a="1"/>
  <c r="G25" i="6" s="1"/>
  <c r="G26" i="6" a="1"/>
  <c r="G26" i="6" s="1"/>
  <c r="G27" i="6" a="1"/>
  <c r="G27" i="6" s="1"/>
  <c r="G28" i="6" a="1"/>
  <c r="G28" i="6" s="1"/>
  <c r="G29" i="6" a="1"/>
  <c r="G29" i="6" s="1"/>
  <c r="G3" i="5" a="1"/>
  <c r="G3" i="5" s="1"/>
  <c r="G4" i="5" a="1"/>
  <c r="G4" i="5" s="1"/>
  <c r="G5" i="5" a="1"/>
  <c r="G5" i="5" s="1"/>
  <c r="G6" i="5" a="1"/>
  <c r="G6" i="5" s="1"/>
  <c r="G7" i="5" a="1"/>
  <c r="G7" i="5" s="1"/>
  <c r="G8" i="5" a="1"/>
  <c r="G8" i="5" s="1"/>
  <c r="G9" i="5" a="1"/>
  <c r="G9" i="5" s="1"/>
  <c r="G10" i="5" a="1"/>
  <c r="G10" i="5" s="1"/>
  <c r="G11" i="5" a="1"/>
  <c r="G11" i="5" s="1"/>
  <c r="G12" i="5" a="1"/>
  <c r="G12" i="5" s="1"/>
  <c r="G13" i="5" a="1"/>
  <c r="G13" i="5" s="1"/>
  <c r="G14" i="5" a="1"/>
  <c r="G14" i="5" s="1"/>
  <c r="G15" i="5" a="1"/>
  <c r="G15" i="5" s="1"/>
  <c r="G16" i="5" a="1"/>
  <c r="G16" i="5" s="1"/>
  <c r="G17" i="5" a="1"/>
  <c r="G17" i="5" s="1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23" i="5" a="1"/>
  <c r="G23" i="5" s="1"/>
  <c r="G24" i="5" a="1"/>
  <c r="G24" i="5" s="1"/>
  <c r="G25" i="5" a="1"/>
  <c r="G25" i="5" s="1"/>
  <c r="G26" i="5" a="1"/>
  <c r="G26" i="5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3" i="5" a="1"/>
  <c r="E3" i="5" s="1"/>
  <c r="E4" i="4" a="1"/>
  <c r="E4" i="4" s="1"/>
  <c r="G4" i="4" s="1" a="1"/>
  <c r="G4" i="4" s="1"/>
  <c r="E5" i="4" a="1"/>
  <c r="E5" i="4" s="1"/>
  <c r="G5" i="4" s="1" a="1"/>
  <c r="G5" i="4" s="1"/>
  <c r="E6" i="4" a="1"/>
  <c r="E6" i="4" s="1"/>
  <c r="G6" i="4" s="1" a="1"/>
  <c r="G6" i="4" s="1"/>
  <c r="E7" i="4" a="1"/>
  <c r="E7" i="4" s="1"/>
  <c r="G7" i="4" s="1" a="1"/>
  <c r="G7" i="4" s="1"/>
  <c r="E8" i="4" a="1"/>
  <c r="E8" i="4" s="1"/>
  <c r="G8" i="4" s="1" a="1"/>
  <c r="G8" i="4" s="1"/>
  <c r="E9" i="4" a="1"/>
  <c r="E9" i="4" s="1"/>
  <c r="G9" i="4" s="1" a="1"/>
  <c r="G9" i="4" s="1"/>
  <c r="E10" i="4" a="1"/>
  <c r="E10" i="4" s="1"/>
  <c r="G10" i="4" s="1" a="1"/>
  <c r="G10" i="4" s="1"/>
  <c r="E11" i="4" a="1"/>
  <c r="E11" i="4" s="1"/>
  <c r="G11" i="4" s="1" a="1"/>
  <c r="G11" i="4" s="1"/>
  <c r="E12" i="4" a="1"/>
  <c r="E12" i="4" s="1"/>
  <c r="G12" i="4" s="1" a="1"/>
  <c r="G12" i="4" s="1"/>
  <c r="E13" i="4" a="1"/>
  <c r="E13" i="4" s="1"/>
  <c r="G13" i="4" s="1" a="1"/>
  <c r="G13" i="4" s="1"/>
  <c r="E14" i="4" a="1"/>
  <c r="E14" i="4" s="1"/>
  <c r="G14" i="4" s="1" a="1"/>
  <c r="G14" i="4" s="1"/>
  <c r="E15" i="4" a="1"/>
  <c r="E15" i="4" s="1"/>
  <c r="G15" i="4" s="1" a="1"/>
  <c r="G15" i="4" s="1"/>
  <c r="E16" i="4" a="1"/>
  <c r="E16" i="4" s="1"/>
  <c r="G16" i="4" s="1" a="1"/>
  <c r="G16" i="4" s="1"/>
  <c r="E17" i="4" a="1"/>
  <c r="E17" i="4" s="1"/>
  <c r="G17" i="4" s="1" a="1"/>
  <c r="G17" i="4" s="1"/>
  <c r="E18" i="4" a="1"/>
  <c r="E18" i="4" s="1"/>
  <c r="G18" i="4" s="1" a="1"/>
  <c r="G18" i="4" s="1"/>
  <c r="E19" i="4" a="1"/>
  <c r="E19" i="4" s="1"/>
  <c r="G19" i="4" s="1" a="1"/>
  <c r="G19" i="4" s="1"/>
  <c r="E20" i="4" a="1"/>
  <c r="E20" i="4" s="1"/>
  <c r="G20" i="4" s="1" a="1"/>
  <c r="G20" i="4" s="1"/>
  <c r="E21" i="4" a="1"/>
  <c r="E21" i="4" s="1"/>
  <c r="G21" i="4" s="1" a="1"/>
  <c r="G21" i="4" s="1"/>
  <c r="E22" i="4" a="1"/>
  <c r="E22" i="4" s="1"/>
  <c r="G22" i="4" s="1" a="1"/>
  <c r="G22" i="4" s="1"/>
  <c r="E23" i="4" a="1"/>
  <c r="E23" i="4" s="1"/>
  <c r="G23" i="4" s="1" a="1"/>
  <c r="G23" i="4" s="1"/>
  <c r="E24" i="4" a="1"/>
  <c r="E24" i="4" s="1"/>
  <c r="G24" i="4" s="1" a="1"/>
  <c r="G24" i="4" s="1"/>
  <c r="E25" i="4" a="1"/>
  <c r="E25" i="4" s="1"/>
  <c r="G25" i="4" s="1" a="1"/>
  <c r="G25" i="4" s="1"/>
  <c r="E26" i="4" a="1"/>
  <c r="E26" i="4" s="1"/>
  <c r="G26" i="4" s="1" a="1"/>
  <c r="G26" i="4" s="1"/>
  <c r="E27" i="4" a="1"/>
  <c r="E27" i="4" s="1"/>
  <c r="G27" i="4" s="1" a="1"/>
  <c r="G27" i="4" s="1"/>
  <c r="E28" i="4" a="1"/>
  <c r="E28" i="4" s="1"/>
  <c r="G28" i="4" s="1" a="1"/>
  <c r="G28" i="4" s="1"/>
  <c r="E29" i="4" a="1"/>
  <c r="E29" i="4" s="1"/>
  <c r="G29" i="4" s="1" a="1"/>
  <c r="G29" i="4" s="1"/>
  <c r="E3" i="4" a="1"/>
  <c r="E3" i="4" s="1"/>
  <c r="G3" i="4" s="1" a="1"/>
  <c r="G3" i="4" s="1"/>
  <c r="E4" i="3" a="1"/>
  <c r="E4" i="3" s="1"/>
  <c r="G4" i="3" s="1" a="1"/>
  <c r="G4" i="3" s="1"/>
  <c r="E5" i="3" a="1"/>
  <c r="E5" i="3" s="1"/>
  <c r="G5" i="3" s="1" a="1"/>
  <c r="G5" i="3" s="1"/>
  <c r="E6" i="3" a="1"/>
  <c r="E6" i="3" s="1"/>
  <c r="G6" i="3" s="1" a="1"/>
  <c r="G6" i="3" s="1"/>
  <c r="E7" i="3" a="1"/>
  <c r="E7" i="3" s="1"/>
  <c r="G7" i="3" s="1" a="1"/>
  <c r="G7" i="3" s="1"/>
  <c r="E8" i="3" a="1"/>
  <c r="E8" i="3" s="1"/>
  <c r="G8" i="3" s="1" a="1"/>
  <c r="G8" i="3" s="1"/>
  <c r="E9" i="3" a="1"/>
  <c r="E9" i="3" s="1"/>
  <c r="G9" i="3" s="1" a="1"/>
  <c r="G9" i="3" s="1"/>
  <c r="E10" i="3" a="1"/>
  <c r="E10" i="3" s="1"/>
  <c r="G10" i="3" s="1" a="1"/>
  <c r="G10" i="3" s="1"/>
  <c r="E11" i="3" a="1"/>
  <c r="E11" i="3" s="1"/>
  <c r="G11" i="3" s="1" a="1"/>
  <c r="G11" i="3" s="1"/>
  <c r="E12" i="3" a="1"/>
  <c r="E12" i="3" s="1"/>
  <c r="G12" i="3" s="1" a="1"/>
  <c r="G12" i="3" s="1"/>
  <c r="E13" i="3" a="1"/>
  <c r="E13" i="3" s="1"/>
  <c r="G13" i="3" s="1" a="1"/>
  <c r="G13" i="3" s="1"/>
  <c r="E14" i="3" a="1"/>
  <c r="E14" i="3" s="1"/>
  <c r="G14" i="3" s="1" a="1"/>
  <c r="G14" i="3" s="1"/>
  <c r="E15" i="3" a="1"/>
  <c r="E15" i="3" s="1"/>
  <c r="G15" i="3" s="1" a="1"/>
  <c r="G15" i="3" s="1"/>
  <c r="E16" i="3" a="1"/>
  <c r="E16" i="3" s="1"/>
  <c r="G16" i="3" s="1" a="1"/>
  <c r="G16" i="3" s="1"/>
  <c r="E17" i="3" a="1"/>
  <c r="E17" i="3" s="1"/>
  <c r="G17" i="3" s="1" a="1"/>
  <c r="G17" i="3" s="1"/>
  <c r="E18" i="3" a="1"/>
  <c r="E18" i="3" s="1"/>
  <c r="G18" i="3" s="1" a="1"/>
  <c r="G18" i="3" s="1"/>
  <c r="E19" i="3" a="1"/>
  <c r="E19" i="3" s="1"/>
  <c r="G19" i="3" s="1" a="1"/>
  <c r="G19" i="3" s="1"/>
  <c r="E20" i="3" a="1"/>
  <c r="E20" i="3" s="1"/>
  <c r="G20" i="3" s="1" a="1"/>
  <c r="G20" i="3" s="1"/>
  <c r="E21" i="3" a="1"/>
  <c r="E21" i="3" s="1"/>
  <c r="G21" i="3" s="1" a="1"/>
  <c r="G21" i="3" s="1"/>
  <c r="E22" i="3" a="1"/>
  <c r="E22" i="3" s="1"/>
  <c r="G22" i="3" s="1" a="1"/>
  <c r="G22" i="3" s="1"/>
  <c r="E23" i="3" a="1"/>
  <c r="E23" i="3" s="1"/>
  <c r="G23" i="3" s="1" a="1"/>
  <c r="G23" i="3" s="1"/>
  <c r="E24" i="3" a="1"/>
  <c r="E24" i="3" s="1"/>
  <c r="G24" i="3" s="1" a="1"/>
  <c r="G24" i="3" s="1"/>
  <c r="E25" i="3" a="1"/>
  <c r="E25" i="3" s="1"/>
  <c r="G25" i="3" s="1" a="1"/>
  <c r="G25" i="3" s="1"/>
  <c r="E26" i="3" a="1"/>
  <c r="E26" i="3" s="1"/>
  <c r="G26" i="3" s="1" a="1"/>
  <c r="G26" i="3" s="1"/>
  <c r="E27" i="3" a="1"/>
  <c r="E27" i="3" s="1"/>
  <c r="G27" i="3" s="1" a="1"/>
  <c r="G27" i="3" s="1"/>
  <c r="E28" i="3" a="1"/>
  <c r="E28" i="3" s="1"/>
  <c r="G28" i="3" s="1" a="1"/>
  <c r="G28" i="3" s="1"/>
  <c r="E29" i="3" a="1"/>
  <c r="E29" i="3" s="1"/>
  <c r="G29" i="3" s="1" a="1"/>
  <c r="G29" i="3" s="1"/>
  <c r="E3" i="3" a="1"/>
  <c r="E3" i="3" s="1"/>
  <c r="G3" i="3" s="1" a="1"/>
  <c r="G3" i="3" s="1"/>
  <c r="E21" i="2" a="1"/>
  <c r="E21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3" i="2" a="1"/>
  <c r="E3" i="2" s="1"/>
  <c r="E4" i="1" a="1"/>
  <c r="E4" i="1" s="1"/>
  <c r="G4" i="1" s="1" a="1"/>
  <c r="G4" i="1" s="1"/>
  <c r="E5" i="1" a="1"/>
  <c r="E5" i="1" s="1"/>
  <c r="G5" i="1" s="1" a="1"/>
  <c r="G5" i="1" s="1"/>
  <c r="E6" i="1" a="1"/>
  <c r="E6" i="1" s="1"/>
  <c r="G6" i="1" s="1" a="1"/>
  <c r="G6" i="1" s="1"/>
  <c r="E7" i="1" a="1"/>
  <c r="E7" i="1" s="1"/>
  <c r="G7" i="1" s="1" a="1"/>
  <c r="G7" i="1" s="1"/>
  <c r="E8" i="1" a="1"/>
  <c r="E8" i="1" s="1"/>
  <c r="G8" i="1" s="1" a="1"/>
  <c r="G8" i="1" s="1"/>
  <c r="E9" i="1" a="1"/>
  <c r="E9" i="1" s="1"/>
  <c r="G9" i="1" s="1" a="1"/>
  <c r="G9" i="1" s="1"/>
  <c r="E10" i="1" a="1"/>
  <c r="E10" i="1" s="1"/>
  <c r="G10" i="1" s="1" a="1"/>
  <c r="G10" i="1" s="1"/>
  <c r="E11" i="1" a="1"/>
  <c r="E11" i="1" s="1"/>
  <c r="G11" i="1" s="1" a="1"/>
  <c r="G11" i="1" s="1"/>
  <c r="E12" i="1" a="1"/>
  <c r="E12" i="1" s="1"/>
  <c r="G12" i="1" s="1" a="1"/>
  <c r="G12" i="1" s="1"/>
  <c r="E13" i="1" a="1"/>
  <c r="E13" i="1" s="1"/>
  <c r="G13" i="1" s="1" a="1"/>
  <c r="G13" i="1" s="1"/>
  <c r="E14" i="1" a="1"/>
  <c r="E14" i="1" s="1"/>
  <c r="G14" i="1" s="1" a="1"/>
  <c r="G14" i="1" s="1"/>
  <c r="E15" i="1" a="1"/>
  <c r="E15" i="1" s="1"/>
  <c r="G15" i="1" s="1" a="1"/>
  <c r="G15" i="1" s="1"/>
  <c r="E16" i="1" a="1"/>
  <c r="E16" i="1" s="1"/>
  <c r="G16" i="1" s="1" a="1"/>
  <c r="G16" i="1" s="1"/>
  <c r="E17" i="1" a="1"/>
  <c r="E17" i="1" s="1"/>
  <c r="G17" i="1" s="1" a="1"/>
  <c r="G17" i="1" s="1"/>
  <c r="E18" i="1" a="1"/>
  <c r="E18" i="1" s="1"/>
  <c r="G18" i="1" s="1" a="1"/>
  <c r="G18" i="1" s="1"/>
  <c r="E19" i="1" a="1"/>
  <c r="E19" i="1" s="1"/>
  <c r="G19" i="1" s="1" a="1"/>
  <c r="G19" i="1" s="1"/>
  <c r="E20" i="1" a="1"/>
  <c r="E20" i="1" s="1"/>
  <c r="G20" i="1" s="1" a="1"/>
  <c r="G20" i="1" s="1"/>
  <c r="E21" i="1" a="1"/>
  <c r="E21" i="1" s="1"/>
  <c r="G21" i="1" s="1" a="1"/>
  <c r="G21" i="1" s="1"/>
  <c r="E22" i="1" a="1"/>
  <c r="E22" i="1" s="1"/>
  <c r="G22" i="1" s="1" a="1"/>
  <c r="G22" i="1" s="1"/>
  <c r="E23" i="1" a="1"/>
  <c r="E23" i="1" s="1"/>
  <c r="G23" i="1" s="1" a="1"/>
  <c r="G23" i="1" s="1"/>
  <c r="E24" i="1" a="1"/>
  <c r="E24" i="1" s="1"/>
  <c r="G24" i="1" s="1" a="1"/>
  <c r="G24" i="1" s="1"/>
  <c r="E25" i="1" a="1"/>
  <c r="E25" i="1" s="1"/>
  <c r="G25" i="1" s="1" a="1"/>
  <c r="G25" i="1" s="1"/>
  <c r="E26" i="1" a="1"/>
  <c r="E26" i="1" s="1"/>
  <c r="G26" i="1" s="1" a="1"/>
  <c r="G26" i="1" s="1"/>
  <c r="E27" i="1" a="1"/>
  <c r="E27" i="1" s="1"/>
  <c r="G27" i="1" s="1" a="1"/>
  <c r="G27" i="1" s="1"/>
  <c r="E28" i="1" a="1"/>
  <c r="E28" i="1" s="1"/>
  <c r="G28" i="1" s="1" a="1"/>
  <c r="G28" i="1" s="1"/>
  <c r="J3" i="1"/>
  <c r="J4" i="6"/>
  <c r="J4" i="5"/>
  <c r="J4" i="4"/>
  <c r="J4" i="3"/>
  <c r="J3" i="2"/>
  <c r="J4" i="2" s="1"/>
  <c r="J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<sst xmlns="http://schemas.openxmlformats.org/spreadsheetml/2006/main" count="614" uniqueCount="127">
  <si>
    <t>Despesas Fixas e Variáveis Setembro/2024</t>
  </si>
  <si>
    <t>Item</t>
  </si>
  <si>
    <t>Vencimento</t>
  </si>
  <si>
    <t>Valor</t>
  </si>
  <si>
    <t>Receita</t>
  </si>
  <si>
    <t xml:space="preserve">Sistema de Geração de Energia </t>
  </si>
  <si>
    <t>Despesas</t>
  </si>
  <si>
    <t>Cemig</t>
  </si>
  <si>
    <t>SALDO</t>
  </si>
  <si>
    <t>Folha de Pagamento</t>
  </si>
  <si>
    <t>Sistema</t>
  </si>
  <si>
    <t xml:space="preserve">Telefone fixo </t>
  </si>
  <si>
    <t>Damae</t>
  </si>
  <si>
    <t>FGTS</t>
  </si>
  <si>
    <t>Internet</t>
  </si>
  <si>
    <t>Movimento interno</t>
  </si>
  <si>
    <t>Honor. Contábeis</t>
  </si>
  <si>
    <t>Site</t>
  </si>
  <si>
    <t xml:space="preserve">Simples </t>
  </si>
  <si>
    <t>GPS/ Receita Federal</t>
  </si>
  <si>
    <t>Celular</t>
  </si>
  <si>
    <t>Associação Comercial e Industrial</t>
  </si>
  <si>
    <t>Tetralarm</t>
  </si>
  <si>
    <t>Serviço de marketing</t>
  </si>
  <si>
    <t>Combustível Vistoria</t>
  </si>
  <si>
    <t>Tarifas Bancárias</t>
  </si>
  <si>
    <t>Supermercado</t>
  </si>
  <si>
    <t>Material escritório</t>
  </si>
  <si>
    <t xml:space="preserve">Recarga de toner </t>
  </si>
  <si>
    <t xml:space="preserve">Conserto da porta e copia de chaves </t>
  </si>
  <si>
    <t>Recarga 7 extintores</t>
  </si>
  <si>
    <t>Lanche</t>
  </si>
  <si>
    <t>Faxina</t>
  </si>
  <si>
    <t>Despesas Fixas e Variáveis Outubro/2024</t>
  </si>
  <si>
    <t>Assistência Técnica</t>
  </si>
  <si>
    <t>Gráfica /RSC</t>
  </si>
  <si>
    <t>Despesas Fixas e Variáveis Novembro/2024</t>
  </si>
  <si>
    <t>Persianas</t>
  </si>
  <si>
    <t xml:space="preserve">Enfeite de natal </t>
  </si>
  <si>
    <t>Despesas Fixas e Variáveis Dezembro/2024</t>
  </si>
  <si>
    <t>Copia de chave</t>
  </si>
  <si>
    <t>Porta copo, lixeira e Copo Descart.</t>
  </si>
  <si>
    <t>Despesas Fixas e Variáveis Janeiro/2025</t>
  </si>
  <si>
    <t>Despesas Fixas e Variáveis Fevereiro/2025</t>
  </si>
  <si>
    <t xml:space="preserve">Cemig </t>
  </si>
  <si>
    <t>Certificado Digital (anual)</t>
  </si>
  <si>
    <t>Tipo</t>
  </si>
  <si>
    <t>Despesa</t>
  </si>
  <si>
    <t>Categoria</t>
  </si>
  <si>
    <t>Energia</t>
  </si>
  <si>
    <t>Recursos Humanos</t>
  </si>
  <si>
    <t>Software</t>
  </si>
  <si>
    <t>Comunicação</t>
  </si>
  <si>
    <t>Saneamento</t>
  </si>
  <si>
    <t>Encargos Trabalhistas</t>
  </si>
  <si>
    <t>Assessoria</t>
  </si>
  <si>
    <t>Marketing</t>
  </si>
  <si>
    <t>Tributos</t>
  </si>
  <si>
    <t>Segurança</t>
  </si>
  <si>
    <t>Transporte</t>
  </si>
  <si>
    <t>Financeiro</t>
  </si>
  <si>
    <t>Suprimentos</t>
  </si>
  <si>
    <t>Manutenção</t>
  </si>
  <si>
    <t>Alimentação</t>
  </si>
  <si>
    <t>Limpeza</t>
  </si>
  <si>
    <t>Modo PG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</si>
  <si>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</si>
  <si>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</si>
  <si>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</si>
  <si>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</si>
  <si>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</si>
  <si>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</si>
  <si>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</si>
  <si>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</si>
  <si>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</si>
  <si>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</si>
  <si>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</si>
  <si>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</si>
  <si>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Sazonalidade</t>
  </si>
  <si>
    <t>Palavra-chave</t>
  </si>
  <si>
    <t>energia</t>
  </si>
  <si>
    <t>folha</t>
  </si>
  <si>
    <t>sistema</t>
  </si>
  <si>
    <t>telefone</t>
  </si>
  <si>
    <t>damae</t>
  </si>
  <si>
    <t>fgts</t>
  </si>
  <si>
    <t>internet</t>
  </si>
  <si>
    <t>movimento</t>
  </si>
  <si>
    <t>Transferência</t>
  </si>
  <si>
    <t>honor</t>
  </si>
  <si>
    <t>site</t>
  </si>
  <si>
    <t>simples</t>
  </si>
  <si>
    <t>gps</t>
  </si>
  <si>
    <t>celular</t>
  </si>
  <si>
    <t>associação</t>
  </si>
  <si>
    <t>tetralarm</t>
  </si>
  <si>
    <t>marketing</t>
  </si>
  <si>
    <t>combust</t>
  </si>
  <si>
    <t>tarifa</t>
  </si>
  <si>
    <t>supermercado</t>
  </si>
  <si>
    <t>escritório</t>
  </si>
  <si>
    <t>toner</t>
  </si>
  <si>
    <t>chaves</t>
  </si>
  <si>
    <t>extintores</t>
  </si>
  <si>
    <t>lanche</t>
  </si>
  <si>
    <t>faxina</t>
  </si>
  <si>
    <t>cemig</t>
  </si>
  <si>
    <t>técnica</t>
  </si>
  <si>
    <t>gráfica</t>
  </si>
  <si>
    <t>persianas</t>
  </si>
  <si>
    <t>enfeite</t>
  </si>
  <si>
    <t>Eletricista</t>
  </si>
  <si>
    <t>Visualização de Matricula</t>
  </si>
  <si>
    <t>eletricista</t>
  </si>
  <si>
    <t>matricula</t>
  </si>
  <si>
    <t>copia de chave</t>
  </si>
  <si>
    <t>Instalação do bebedouro</t>
  </si>
  <si>
    <t>instalação do bebedouro</t>
  </si>
  <si>
    <t>porta copo</t>
  </si>
  <si>
    <t>certificado digital</t>
  </si>
  <si>
    <t>Banner</t>
  </si>
  <si>
    <t>Propaganda</t>
  </si>
  <si>
    <t>propaganda</t>
  </si>
  <si>
    <t>banner</t>
  </si>
  <si>
    <t>Boleto</t>
  </si>
  <si>
    <t>PIX</t>
  </si>
  <si>
    <t>Débito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</si>
</sst>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R$ &quot;#,##0.00;[Red]&quot;-R$ &quot;#,##0.00"/>
    <numFmt numFmtId="167" formatCode="&quot;R$ &quot;#,##0;[Red]&quot;-R$ &quot;#,##0"/>
  </numFmts>
  <fonts count="10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3"/>
      <color theme="1"/>
      <name val="Calibri"/>
      <family val="2"/>
      <charset val="1"/>
    </font>
    <font>
      <b/>
      <sz val="13"/>
      <color theme="0"/>
      <name val="Calibri"/>
      <family val="2"/>
      <charset val="1"/>
    </font>
    <font>
      <sz val="13"/>
      <color theme="1"/>
      <name val="Calibri"/>
      <family val="2"/>
      <charset val="1"/>
    </font>
    <font>
      <sz val="13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rgb="FF9999FF"/>
      </patternFill>
    </fill>
    <fill>
      <patternFill patternType="solid">
        <fgColor theme="5" tint="0.39997558519241921"/>
        <bgColor rgb="FFFF99CC"/>
      </patternFill>
    </fill>
    <fill>
      <patternFill patternType="solid">
        <fgColor rgb="FF26F508"/>
        <bgColor rgb="FF99CC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5" fillId="0" borderId="0" applyBorder="0" applyProtection="0"/>
  </cellStyleXfs>
  <cellXfs count="104">
    <xf numFmtId="0" fontId="0" fillId="0" borderId="0" xfId="0"/>
    <xf numFmtId="0" fontId="1" fillId="0" borderId="0" xfId="0" applyFont="1"/>
    <xf numFmtId="17" fontId="1" fillId="0" borderId="0" xfId="1" applyNumberFormat="1" applyFont="1" applyBorder="1" applyProtection="1"/>
    <xf numFmtId="0" fontId="0" fillId="0" borderId="1" xfId="0" applyBorder="1"/>
    <xf numFmtId="165" fontId="5" fillId="2" borderId="1" xfId="1" applyNumberFormat="1" applyFill="1" applyBorder="1" applyProtection="1"/>
    <xf numFmtId="0" fontId="0" fillId="0" borderId="1" xfId="0" applyBorder="1" applyAlignment="1">
      <alignment horizontal="left"/>
    </xf>
    <xf numFmtId="165" fontId="0" fillId="3" borderId="1" xfId="0" applyNumberFormat="1" applyFill="1" applyBorder="1"/>
    <xf numFmtId="0" fontId="2" fillId="0" borderId="1" xfId="0" applyFont="1" applyBorder="1"/>
    <xf numFmtId="165" fontId="2" fillId="4" borderId="1" xfId="0" applyNumberFormat="1" applyFont="1" applyFill="1" applyBorder="1"/>
    <xf numFmtId="0" fontId="2" fillId="0" borderId="0" xfId="0" applyFont="1"/>
    <xf numFmtId="17" fontId="1" fillId="0" borderId="0" xfId="1" applyNumberFormat="1" applyFont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Border="1"/>
    <xf numFmtId="165" fontId="0" fillId="0" borderId="0" xfId="1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44" fontId="1" fillId="0" borderId="0" xfId="1" applyNumberFormat="1" applyFont="1" applyBorder="1" applyProtection="1"/>
    <xf numFmtId="44" fontId="7" fillId="0" borderId="2" xfId="0" applyNumberFormat="1" applyFont="1" applyBorder="1" applyAlignment="1">
      <alignment horizontal="center"/>
    </xf>
    <xf numFmtId="44" fontId="0" fillId="0" borderId="0" xfId="1" applyNumberFormat="1" applyFont="1" applyBorder="1"/>
    <xf numFmtId="44" fontId="0" fillId="0" borderId="0" xfId="0" applyNumberFormat="1" applyAlignment="1">
      <alignment horizontal="right"/>
    </xf>
    <xf numFmtId="44" fontId="0" fillId="0" borderId="0" xfId="1" applyNumberFormat="1" applyFont="1" applyBorder="1" applyAlignment="1">
      <alignment horizontal="right"/>
    </xf>
    <xf numFmtId="44" fontId="3" fillId="0" borderId="0" xfId="1" applyNumberFormat="1" applyFont="1" applyBorder="1" applyAlignment="1">
      <alignment horizontal="right"/>
    </xf>
    <xf numFmtId="44" fontId="3" fillId="0" borderId="0" xfId="1" applyNumberFormat="1" applyFont="1" applyBorder="1"/>
    <xf numFmtId="44" fontId="0" fillId="0" borderId="0" xfId="0" applyNumberFormat="1"/>
    <xf numFmtId="165" fontId="5" fillId="0" borderId="0" xfId="1" applyNumberFormat="1" applyBorder="1" applyProtection="1"/>
    <xf numFmtId="0" fontId="1" fillId="0" borderId="0" xfId="0" applyFont="1" applyAlignment="1">
      <alignment horizontal="center"/>
    </xf>
    <xf numFmtId="17" fontId="1" fillId="0" borderId="0" xfId="1" applyNumberFormat="1" applyFont="1" applyBorder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65" fontId="5" fillId="0" borderId="0" xfId="1" applyNumberFormat="1" applyBorder="1" applyAlignment="1" applyProtection="1">
      <alignment horizontal="left" vertical="center"/>
    </xf>
    <xf numFmtId="165" fontId="3" fillId="0" borderId="0" xfId="1" applyNumberFormat="1" applyFont="1" applyBorder="1" applyAlignment="1" applyProtection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 quotePrefix="1" applyAlignment="1">
      <alignment wrapText="1"/>
    </xf>
    <xf numFmtId="165" fontId="0" fillId="0" borderId="0" xfId="1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/>
    <xf numFmtId="17" fontId="6" fillId="0" borderId="0" xfId="1" applyNumberFormat="1" applyFont="1" applyBorder="1" applyProtection="1"/>
    <xf numFmtId="17" fontId="6" fillId="0" borderId="0" xfId="1" applyNumberFormat="1" applyFont="1" applyBorder="1" applyAlignment="1" applyProtection="1">
      <alignment horizontal="left"/>
    </xf>
    <xf numFmtId="17" fontId="6" fillId="0" borderId="0" xfId="1" applyNumberFormat="1" applyFont="1" applyBorder="1" applyAlignment="1" applyProtection="1">
      <alignment horizontal="left" vertical="center"/>
    </xf>
    <xf numFmtId="165" fontId="8" fillId="2" borderId="0" xfId="1" applyNumberFormat="1" applyFont="1" applyFill="1" applyBorder="1" applyProtection="1"/>
    <xf numFmtId="165" fontId="8" fillId="0" borderId="0" xfId="1" applyNumberFormat="1" applyFont="1" applyBorder="1"/>
    <xf numFmtId="165" fontId="8" fillId="0" borderId="0" xfId="1" applyNumberFormat="1" applyFont="1" applyBorder="1" applyAlignment="1">
      <alignment horizontal="left" vertical="center"/>
    </xf>
    <xf numFmtId="165" fontId="8" fillId="0" borderId="0" xfId="1" applyNumberFormat="1" applyFont="1" applyBorder="1" applyAlignment="1" applyProtection="1">
      <alignment horizontal="left" vertical="center"/>
    </xf>
    <xf numFmtId="165" fontId="8" fillId="3" borderId="0" xfId="0" applyNumberFormat="1" applyFont="1" applyFill="1"/>
    <xf numFmtId="165" fontId="6" fillId="4" borderId="0" xfId="0" applyNumberFormat="1" applyFont="1" applyFill="1"/>
    <xf numFmtId="0" fontId="9" fillId="0" borderId="0" xfId="0" applyFont="1" applyAlignment="1">
      <alignment horizontal="left"/>
    </xf>
    <xf numFmtId="165" fontId="9" fillId="0" borderId="0" xfId="1" applyNumberFormat="1" applyFont="1" applyBorder="1" applyAlignment="1" applyProtection="1">
      <alignment horizontal="left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left"/>
    </xf>
    <xf numFmtId="165" fontId="5" fillId="0" borderId="0" xfId="1" applyNumberFormat="1" applyBorder="1" applyAlignment="1" applyProtection="1">
      <alignment horizontal="left"/>
    </xf>
    <xf numFmtId="165" fontId="3" fillId="0" borderId="0" xfId="1" applyNumberFormat="1" applyFont="1" applyBorder="1" applyAlignment="1" applyProtection="1">
      <alignment horizontal="left"/>
    </xf>
    <xf numFmtId="165" fontId="3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7" fontId="5" fillId="0" borderId="0" xfId="1" applyNumberFormat="1" applyBorder="1" applyAlignment="1" applyProtection="1">
      <alignment horizontal="lef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7" fontId="5" fillId="0" borderId="0" xfId="1" applyNumberFormat="1" applyBorder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44" fontId="1" fillId="0" borderId="0" xfId="0" applyNumberFormat="1" applyFont="1" applyAlignment="1">
      <alignment horizontal="center"/>
    </xf>
    <xf numFmtId="44" fontId="5" fillId="0" borderId="0" xfId="1" applyNumberFormat="1" applyBorder="1" applyProtection="1"/>
    <xf numFmtId="44" fontId="5" fillId="0" borderId="0" xfId="1" applyNumberFormat="1" applyBorder="1" applyAlignment="1" applyProtection="1">
      <alignment horizontal="right"/>
    </xf>
    <xf numFmtId="44" fontId="3" fillId="0" borderId="0" xfId="1" applyNumberFormat="1" applyFont="1" applyBorder="1" applyProtection="1"/>
    <xf numFmtId="44" fontId="3" fillId="0" borderId="0" xfId="1" applyNumberFormat="1" applyFont="1" applyBorder="1" applyAlignment="1" applyProtection="1">
      <alignment horizontal="right"/>
    </xf>
    <xf numFmtId="44" fontId="3" fillId="0" borderId="0" xfId="0" applyNumberFormat="1" applyFont="1"/>
    <xf numFmtId="44" fontId="2" fillId="0" borderId="0" xfId="0" applyNumberFormat="1" applyFont="1"/>
    <xf numFmtId="167" fontId="3" fillId="0" borderId="0" xfId="1" applyNumberFormat="1" applyFont="1" applyBorder="1" applyAlignment="1" applyProtection="1">
      <alignment horizontal="left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0" fontId="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44" fontId="1" fillId="0" borderId="0" xfId="0" applyNumberFormat="1" applyFont="1" applyFill="1" applyBorder="1" applyAlignment="1">
      <alignment horizontal="center"/>
    </xf>
    <xf numFmtId="44" fontId="3" fillId="0" borderId="0" xfId="1" applyNumberFormat="1" applyFont="1" applyBorder="1" applyAlignment="1" applyProtection="1">
      <alignment horizontal="left"/>
    </xf>
    <xf numFmtId="44" fontId="5" fillId="0" borderId="0" xfId="1" applyNumberFormat="1" applyBorder="1" applyAlignment="1" applyProtection="1">
      <alignment horizontal="left"/>
    </xf>
    <xf numFmtId="44" fontId="4" fillId="0" borderId="0" xfId="1" applyNumberFormat="1" applyFont="1" applyBorder="1" applyProtection="1"/>
    <xf numFmtId="14" fontId="6" fillId="0" borderId="0" xfId="0" applyNumberFormat="1" applyFont="1"/>
    <xf numFmtId="14" fontId="8" fillId="0" borderId="0" xfId="0" applyNumberFormat="1" applyFont="1"/>
    <xf numFmtId="44" fontId="6" fillId="0" borderId="0" xfId="1" applyNumberFormat="1" applyFont="1" applyBorder="1" applyProtection="1"/>
    <xf numFmtId="44" fontId="8" fillId="0" borderId="0" xfId="1" applyNumberFormat="1" applyFont="1" applyBorder="1" applyProtection="1"/>
    <xf numFmtId="44" fontId="8" fillId="0" borderId="0" xfId="1" applyNumberFormat="1" applyFont="1" applyBorder="1" applyAlignment="1" applyProtection="1">
      <alignment horizontal="right"/>
    </xf>
    <xf numFmtId="44" fontId="9" fillId="0" borderId="0" xfId="1" applyNumberFormat="1" applyFont="1" applyBorder="1" applyAlignment="1" applyProtection="1">
      <alignment horizontal="right"/>
    </xf>
    <xf numFmtId="44" fontId="9" fillId="0" borderId="0" xfId="1" applyNumberFormat="1" applyFont="1" applyBorder="1" applyProtection="1"/>
    <xf numFmtId="44" fontId="8" fillId="0" borderId="0" xfId="0" applyNumberFormat="1" applyFont="1"/>
    <xf numFmtId="14" fontId="7" fillId="0" borderId="2" xfId="0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numFmt numFmtId="165" formatCode="&quot;R$ &quot;#,##0.00;[Red]&quot;-R$ &quot;#,##0.00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protection locked="1" hidden="0"/>
    </dxf>
    <dxf>
      <numFmt numFmtId="165" formatCode="&quot;R$ &quot;#,##0.00;[Red]&quot;-R$ &quot;#,##0.00"/>
      <alignment horizontal="left" vertical="bottom" textRotation="0" wrapText="0" indent="0" justifyLastLine="0" shrinkToFit="0" readingOrder="0"/>
      <protection locked="1" hidden="0"/>
    </dxf>
    <dxf>
      <numFmt numFmtId="34" formatCode="_-&quot;R$&quot;\ * #,##0.00_-;\-&quot;R$&quot;\ * #,##0.00_-;_-&quot;R$&quot;\ * &quot;-&quot;??_-;_-@_-"/>
      <protection locked="1" hidden="0"/>
    </dxf>
    <dxf>
      <numFmt numFmtId="165" formatCode="&quot;R$ &quot;#,##0.00;[Red]&quot;-R$ &quot;#,##0.00"/>
      <protection locked="1" hidden="0"/>
    </dxf>
    <dxf>
      <numFmt numFmtId="19" formatCode="dd/mm/yyyy"/>
      <alignment horizontal="left" vertical="bottom" textRotation="0" wrapText="0" indent="0" justifyLastLine="0" shrinkToFit="0" readingOrder="0"/>
    </dxf>
    <dxf>
      <numFmt numFmtId="165" formatCode="&quot;R$ &quot;#,##0.00;[Red]&quot;-R$ &quot;#,##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numFmt numFmtId="165" formatCode="&quot;R$ &quot;#,##0.00;[Red]&quot;-R$ &quot;#,##0.00"/>
      <fill>
        <patternFill patternType="none">
          <fgColor indexed="64"/>
          <bgColor auto="1"/>
        </patternFill>
      </fill>
      <protection locked="1" hidden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1" hidden="0"/>
    </dxf>
    <dxf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protection locked="1" hidden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protection locked="1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5" formatCode="&quot;R$ &quot;#,##0.00;[Red]&quot;-R$ &quot;#,##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charset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6F508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CFB82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59DC2-F103-4F38-A9A0-D44757D4FE4E}" name="tab_sazonalidade" displayName="tab_sazonalidade" ref="A1:M17" totalsRowShown="0" headerRowDxfId="72" dataDxfId="71">
  <autoFilter ref="A1:M17" xr:uid="{51A59DC2-F103-4F38-A9A0-D44757D4FE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1E9E275-DE00-4D0A-BE7E-106D4B92DEFB}" name="Categoria" dataDxfId="70"/>
    <tableColumn id="2" xr3:uid="{F6F3125F-A135-425C-8748-201A1B8B01D8}" name="Jan" dataDxfId="69"/>
    <tableColumn id="3" xr3:uid="{D56A13DC-BE6C-43DC-BA98-FEFB7D66315A}" name="Fev" dataDxfId="68"/>
    <tableColumn id="4" xr3:uid="{D400BBA8-4EA5-4354-9012-E785DCF129BB}" name="Mar" dataDxfId="67"/>
    <tableColumn id="5" xr3:uid="{6E49BDC8-3AD5-408F-A4BC-30E4FE13FCB9}" name="Abr" dataDxfId="66"/>
    <tableColumn id="6" xr3:uid="{02F4AF04-6690-4623-B319-7E5D1543F630}" name="Mai" dataDxfId="65"/>
    <tableColumn id="7" xr3:uid="{372D46B0-740F-400F-A1CA-F5FB32DBBC8C}" name="Jun" dataDxfId="64"/>
    <tableColumn id="8" xr3:uid="{9DFC3933-ADE4-4995-A9E8-7ADBF1E62A78}" name="Jul" dataDxfId="63"/>
    <tableColumn id="9" xr3:uid="{31BBBCB1-4280-4233-9170-E6CF5268670A}" name="Ago" dataDxfId="62"/>
    <tableColumn id="10" xr3:uid="{987B6075-97BA-4BEC-BBFD-462315D2C10A}" name="Set" dataDxfId="61"/>
    <tableColumn id="11" xr3:uid="{35E9F303-1876-4A61-BE54-2F5FD154E998}" name="Out" dataDxfId="60"/>
    <tableColumn id="12" xr3:uid="{422B2A34-BC87-48B3-97D0-E8079B2DF83A}" name="Nov" dataDxfId="59"/>
    <tableColumn id="13" xr3:uid="{22F1BD1A-CC37-40AF-996B-C2C53228C5AD}" name="Dez" dataDxfId="5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FB8E9E-0AC8-4230-9867-ADBF1EBA62CD}" name="tab_categorias" displayName="tab_categorias" ref="O1:P39" totalsRowShown="0" headerRowDxfId="57" dataDxfId="56">
  <autoFilter ref="O1:P39" xr:uid="{A4FB8E9E-0AC8-4230-9867-ADBF1EBA62CD}">
    <filterColumn colId="0" hiddenButton="1"/>
    <filterColumn colId="1" hiddenButton="1"/>
  </autoFilter>
  <tableColumns count="2">
    <tableColumn id="1" xr3:uid="{11EBD63B-6F11-4CD3-A0AD-D81705EB3D0E}" name="Palavra-chave" dataDxfId="55"/>
    <tableColumn id="2" xr3:uid="{16B955A6-41DD-4A9A-A8F2-552A46DA1A0C}" name="Categoria" dataDxfId="5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3F1860-383F-4142-B8F2-771BAC316823}" name="tab_setembro_24" displayName="tab_setembro_24" ref="A2:G28" totalsRowShown="0" headerRowDxfId="53" dataDxfId="51" headerRowBorderDxfId="52">
  <autoFilter ref="A2:G28" xr:uid="{D93F1860-383F-4142-B8F2-771BAC3168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5E7B0A0-9C96-473D-BA05-C1580EDCD236}" name="Item" dataDxfId="2"/>
    <tableColumn id="2" xr3:uid="{BEEDF028-FBE2-4EA5-A4B6-47A33C730B6B}" name="Vencimento" dataDxfId="0"/>
    <tableColumn id="3" xr3:uid="{C5FD5982-1C99-448D-B52C-FB4721FDAF09}" name="Valor" dataDxfId="1" dataCellStyle="Moeda"/>
    <tableColumn id="4" xr3:uid="{6DABE32C-D48F-4B2A-AB4C-7DCE6A624C56}" name="Tipo" dataDxfId="50" dataCellStyle="Moeda"/>
    <tableColumn id="5" xr3:uid="{3AE8D528-90C7-4619-BCEF-F3C7D9382BFB}" name="Categoria" dataDxfId="49" dataCellStyle="Moeda">
      <calculatedColumnFormula array="1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calculatedColumnFormula>
    </tableColumn>
    <tableColumn id="6" xr3:uid="{46B5B9F2-7BA5-425E-A8A6-ABD8BB42DD28}" name="Modo PG" dataDxfId="37" dataCellStyle="Moeda"/>
    <tableColumn id="7" xr3:uid="{C71E84F0-7312-4258-9140-7AD64DE70D33}" name="Sazonalidade" dataDxfId="36" dataCellStyle="Moeda">
      <calculatedColumnFormula array="1">IFERROR($C3 * INDEX(tab_sazonalidade[[Jan]:[Dez]], MATCH($E3, tab_sazonalidade[Categoria], 0), MONTH($B3)), $C3)</calculatedColumnFormula>
    </tableColumn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98C5F3-EE84-4C99-A95D-562373C0ECB1}" name="tab_outubro_24" displayName="tab_outubro_24" ref="A2:G27" totalsRowShown="0" headerRowDxfId="38" dataDxfId="39" dataCellStyle="Moeda">
  <autoFilter ref="A2:G27" xr:uid="{0498C5F3-EE84-4C99-A95D-562373C0EC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28A6C7F-2720-4B7E-9B7B-546AE08856BA}" name="Item" dataDxfId="8"/>
    <tableColumn id="2" xr3:uid="{30815A0B-EFEA-42DF-AA64-D64B7E191B3B}" name="Vencimento" dataDxfId="7"/>
    <tableColumn id="3" xr3:uid="{66CB9663-8861-4017-89F3-2C9CF7E62BC3}" name="Valor" dataDxfId="5" dataCellStyle="Moeda"/>
    <tableColumn id="4" xr3:uid="{CA8C714E-3923-438B-814D-DE215B22F9FC}" name="Tipo" dataDxfId="6" dataCellStyle="Moeda"/>
    <tableColumn id="5" xr3:uid="{66BAE097-DC9A-4B87-9DCB-9C8C7D9C94E2}" name="Categoria" dataDxfId="40" dataCellStyle="Moeda">
      <calculatedColumnFormula array="1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calculatedColumnFormula>
    </tableColumn>
    <tableColumn id="6" xr3:uid="{F24D884E-1769-402D-84AF-500147D600E3}" name="Modo PG" dataDxfId="4" dataCellStyle="Moeda"/>
    <tableColumn id="7" xr3:uid="{1BF09731-D299-46A1-8A52-D5C0CF924366}" name="Sazonalidade" dataDxfId="3" dataCellStyle="Moeda">
      <calculatedColumnFormula array="1">IFERROR($C3 * INDEX(tab_sazonalidade[[Jan]:[Dez]], MATCH($E3, tab_sazonalidade[Categoria], 0), MONTH($B3)), $C3)</calculatedColumnFormula>
    </tableColumn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BBEDE4-5894-4711-B035-2184A83576ED}" name="tab_novembro_24" displayName="tab_novembro_24" ref="A2:G29" totalsRowShown="0" headerRowDxfId="48" dataDxfId="47">
  <autoFilter ref="A2:G29" xr:uid="{2FBBEDE4-5894-4711-B035-2184A83576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33DA18B-43FD-41F9-B92A-A5B3005D1476}" name="Item" dataDxfId="14"/>
    <tableColumn id="2" xr3:uid="{4E7AEC8F-FBD5-447F-A2AF-4C8730F76A5E}" name="Vencimento" dataDxfId="13"/>
    <tableColumn id="3" xr3:uid="{B74F5727-A2D4-4486-A2AC-DF112C55A65C}" name="Valor" dataDxfId="11" dataCellStyle="Moeda"/>
    <tableColumn id="4" xr3:uid="{89B1C938-EB09-4893-9456-4C1998A1B72B}" name="Tipo" dataDxfId="12" dataCellStyle="Moeda"/>
    <tableColumn id="5" xr3:uid="{ACA91F28-6ABD-4586-8903-57135AB654BF}" name="Categoria" dataDxfId="46">
      <calculatedColumnFormula array="1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calculatedColumnFormula>
    </tableColumn>
    <tableColumn id="6" xr3:uid="{EA902238-D2D8-4F9B-B1BC-5A51117B0183}" name="Modo PG" dataDxfId="10" dataCellStyle="Moeda"/>
    <tableColumn id="7" xr3:uid="{2334B937-5846-49F5-8988-119B6D3979B3}" name="Sazonalidade" dataDxfId="9" dataCellStyle="Moeda">
      <calculatedColumnFormula array="1">IFERROR($C3 * INDEX(tab_sazonalidade[[Jan]:[Dez]], MATCH($E3, tab_sazonalidade[Categoria], 0), MONTH($B3)), $C3)</calculatedColumnFormula>
    </tableColumn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12BC63-B62C-4F4D-922E-57A3CE48F649}" name="tab_dezembro_24" displayName="tab_dezembro_24" ref="A2:G29" totalsRowShown="0" headerRowDxfId="28" dataDxfId="45" dataCellStyle="Moeda">
  <autoFilter ref="A2:G29" xr:uid="{5112BC63-B62C-4F4D-922E-57A3CE48F6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AEB9797-4BBB-4E76-B63D-E6B8423AD648}" name="Item"/>
    <tableColumn id="2" xr3:uid="{B732FB2F-92D5-4D1C-A8FE-9012312B911D}" name="Vencimento" dataDxfId="19"/>
    <tableColumn id="3" xr3:uid="{1171D0DF-F22A-40BB-8DD6-00CEFFBA3ABE}" name="Valor" dataDxfId="17" dataCellStyle="Moeda"/>
    <tableColumn id="4" xr3:uid="{EA7CFF8C-E8B4-4A78-926D-67B532ECD7FB}" name="Tipo" dataDxfId="18" dataCellStyle="Moeda"/>
    <tableColumn id="5" xr3:uid="{904E59C2-9693-478D-8F1F-6403E6D316A8}" name="Categoria" dataDxfId="20" dataCellStyle="Moeda">
      <calculatedColumnFormula array="1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calculatedColumnFormula>
    </tableColumn>
    <tableColumn id="6" xr3:uid="{D6B24FB3-4AB3-429C-9218-7BD41CE2649A}" name="Modo PG" dataDxfId="16" dataCellStyle="Moeda"/>
    <tableColumn id="7" xr3:uid="{D06409C4-2CFB-456D-ABED-DBD8A9E3FF59}" name="Sazonalidade" dataDxfId="15" dataCellStyle="Moeda">
      <calculatedColumnFormula array="1">IFERROR($C3 * INDEX(tab_sazonalidade[[Jan]:[Dez]], MATCH($E3, tab_sazonalidade[Categoria], 0), MONTH($B3)), $C3)</calculatedColumnFormula>
    </tableColumn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CB1F8D-41EA-4405-91AF-EFB0F2941842}" name="tab_janeiro_25" displayName="tab_janeiro_25" ref="A2:G26" totalsRowShown="0" headerRowDxfId="44" dataDxfId="43">
  <autoFilter ref="A2:G26" xr:uid="{7BCB1F8D-41EA-4405-91AF-EFB0F29418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75635B2-4999-4580-9783-34EF009142E0}" name="Item" dataDxfId="29"/>
    <tableColumn id="2" xr3:uid="{8601E06B-D1B2-41F7-9C1E-56C42D87BBEE}" name="Vencimento" dataDxfId="23"/>
    <tableColumn id="3" xr3:uid="{D47187E2-3A5C-4161-A0D4-DC27438D4D44}" name="Valor" dataDxfId="21" dataCellStyle="Moeda"/>
    <tableColumn id="4" xr3:uid="{C84C068C-80C7-44F8-ABFC-E4DE654B9613}" name="Tipo" dataDxfId="22" dataCellStyle="Moeda"/>
    <tableColumn id="5" xr3:uid="{54A2AB2C-F2A6-4052-9A37-40671D3E950F}" name="Categoria" dataDxfId="32" dataCellStyle="Moeda">
      <calculatedColumnFormula array="1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calculatedColumnFormula>
    </tableColumn>
    <tableColumn id="6" xr3:uid="{96ABF6B5-180D-4EEC-8E7E-A3D33825DB1F}" name="Modo PG" dataDxfId="31" dataCellStyle="Moeda"/>
    <tableColumn id="7" xr3:uid="{D11599D3-FBAE-4EDD-8810-3ED1C5E8300D}" name="Sazonalidade" dataDxfId="30" dataCellStyle="Moeda">
      <calculatedColumnFormula array="1">IFERROR($C3 * INDEX(tab_sazonalidade[[Jan]:[Dez]], MATCH($E3, tab_sazonalidade[Categoria], 0), MONTH($B3)), $C3)</calculatedColumnFormula>
    </tableColumn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7E7E91-0FF0-4334-8C75-7C2893B76A9D}" name="tab_fevereiro_25" displayName="tab_fevereiro_25" ref="A2:G29" totalsRowShown="0" headerRowDxfId="42" dataDxfId="41" dataCellStyle="Moeda">
  <autoFilter ref="A2:G29" xr:uid="{137E7E91-0FF0-4334-8C75-7C2893B76A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B4F5D76-C44F-4962-A3AB-ED1504378EE1}" name="Item" dataDxfId="27"/>
    <tableColumn id="2" xr3:uid="{1CF901C1-9F81-4AC9-A2CE-4B59E74E1EC8}" name="Vencimento" dataDxfId="26"/>
    <tableColumn id="3" xr3:uid="{854FA2D1-DF44-4E0C-8DBA-3437D10A0EB8}" name="Valor" dataDxfId="24" dataCellStyle="Moeda"/>
    <tableColumn id="4" xr3:uid="{66417037-5BB1-4A9D-82B3-8A9DF727BE18}" name="Tipo" dataDxfId="25" dataCellStyle="Moeda"/>
    <tableColumn id="5" xr3:uid="{58AD73C4-B95B-4D3B-863C-DB25CF864C9F}" name="Categoria" dataDxfId="33" dataCellStyle="Moeda">
      <calculatedColumnFormula array="1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calculatedColumnFormula>
    </tableColumn>
    <tableColumn id="6" xr3:uid="{46853FA6-05E4-4547-BC9E-AB20C2E51E63}" name="Modo PG" dataDxfId="34" dataCellStyle="Moeda">
      <calculatedColumnFormula>CHOOSE(RANDBETWEEN(1,3), "Débito auto", "PIX", "Boleto")</calculatedColumnFormula>
    </tableColumn>
    <tableColumn id="7" xr3:uid="{CCD8F373-57B8-4ABB-AE8E-E142F02A2E0A}" name="Sazonalidade" dataDxfId="35" dataCellStyle="Moeda">
      <calculatedColumnFormula array="1">IFERROR($C3 * INDEX(tab_sazonalidade[[Jan]:[Dez]], MATCH($E3, tab_sazonalidade[Categoria], 0), MONTH($B3)), $C3)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DE82-5A1D-4B20-88DF-C54FB4E3A7EB}">
  <dimension ref="A1:P39"/>
  <sheetViews>
    <sheetView topLeftCell="A7" workbookViewId="0">
      <selection activeCell="D9" sqref="D9:E10"/>
    </sheetView>
  </sheetViews>
  <sheetFormatPr defaultColWidth="21.109375" defaultRowHeight="17.399999999999999" x14ac:dyDescent="0.35"/>
  <cols>
    <col min="1" max="1" width="24.44140625" style="41" customWidth="1"/>
    <col min="2" max="13" width="5.21875" style="41" bestFit="1" customWidth="1"/>
    <col min="14" max="14" width="9.5546875" style="41" customWidth="1"/>
    <col min="15" max="15" width="26.77734375" style="41" bestFit="1" customWidth="1"/>
    <col min="16" max="16" width="25.6640625" style="41" customWidth="1"/>
    <col min="17" max="16384" width="21.109375" style="41"/>
  </cols>
  <sheetData>
    <row r="1" spans="1:16" x14ac:dyDescent="0.35">
      <c r="A1" s="40" t="s">
        <v>48</v>
      </c>
      <c r="B1" s="40" t="s">
        <v>66</v>
      </c>
      <c r="C1" s="40" t="s">
        <v>67</v>
      </c>
      <c r="D1" s="40" t="s">
        <v>68</v>
      </c>
      <c r="E1" s="40" t="s">
        <v>69</v>
      </c>
      <c r="F1" s="40" t="s">
        <v>70</v>
      </c>
      <c r="G1" s="40" t="s">
        <v>71</v>
      </c>
      <c r="H1" s="40" t="s">
        <v>72</v>
      </c>
      <c r="I1" s="40" t="s">
        <v>73</v>
      </c>
      <c r="J1" s="40" t="s">
        <v>74</v>
      </c>
      <c r="K1" s="40" t="s">
        <v>75</v>
      </c>
      <c r="L1" s="40" t="s">
        <v>76</v>
      </c>
      <c r="M1" s="40" t="s">
        <v>77</v>
      </c>
      <c r="O1" s="40" t="s">
        <v>79</v>
      </c>
      <c r="P1" s="40" t="s">
        <v>48</v>
      </c>
    </row>
    <row r="2" spans="1:16" x14ac:dyDescent="0.35">
      <c r="A2" s="42" t="s">
        <v>49</v>
      </c>
      <c r="B2" s="42">
        <v>1.2</v>
      </c>
      <c r="C2" s="42">
        <v>1.2</v>
      </c>
      <c r="D2" s="42">
        <v>1.1000000000000001</v>
      </c>
      <c r="E2" s="42">
        <v>1</v>
      </c>
      <c r="F2" s="42">
        <v>0.95</v>
      </c>
      <c r="G2" s="42">
        <v>0.85</v>
      </c>
      <c r="H2" s="42">
        <v>0.85</v>
      </c>
      <c r="I2" s="42">
        <v>0.85</v>
      </c>
      <c r="J2" s="42">
        <v>0.9</v>
      </c>
      <c r="K2" s="42">
        <v>1</v>
      </c>
      <c r="L2" s="42">
        <v>1.1000000000000001</v>
      </c>
      <c r="M2" s="42">
        <v>1.2</v>
      </c>
      <c r="O2" s="42" t="s">
        <v>80</v>
      </c>
      <c r="P2" s="42" t="s">
        <v>49</v>
      </c>
    </row>
    <row r="3" spans="1:16" x14ac:dyDescent="0.35">
      <c r="A3" s="42" t="s">
        <v>50</v>
      </c>
      <c r="B3" s="42">
        <v>1</v>
      </c>
      <c r="C3" s="42">
        <v>1</v>
      </c>
      <c r="D3" s="42">
        <v>1</v>
      </c>
      <c r="E3" s="42">
        <v>1</v>
      </c>
      <c r="F3" s="42">
        <v>1</v>
      </c>
      <c r="G3" s="42">
        <v>1.05</v>
      </c>
      <c r="H3" s="42">
        <v>1.05</v>
      </c>
      <c r="I3" s="42">
        <v>1.05</v>
      </c>
      <c r="J3" s="42">
        <v>1</v>
      </c>
      <c r="K3" s="42">
        <v>1</v>
      </c>
      <c r="L3" s="42">
        <v>1</v>
      </c>
      <c r="M3" s="42">
        <v>1</v>
      </c>
      <c r="O3" s="42" t="s">
        <v>81</v>
      </c>
      <c r="P3" s="42" t="s">
        <v>50</v>
      </c>
    </row>
    <row r="4" spans="1:16" x14ac:dyDescent="0.35">
      <c r="A4" s="42" t="s">
        <v>51</v>
      </c>
      <c r="B4" s="42">
        <v>1</v>
      </c>
      <c r="C4" s="42">
        <v>1</v>
      </c>
      <c r="D4" s="42">
        <v>1</v>
      </c>
      <c r="E4" s="42">
        <v>1</v>
      </c>
      <c r="F4" s="42">
        <v>1</v>
      </c>
      <c r="G4" s="42">
        <v>1</v>
      </c>
      <c r="H4" s="42">
        <v>1</v>
      </c>
      <c r="I4" s="42">
        <v>1</v>
      </c>
      <c r="J4" s="42">
        <v>1</v>
      </c>
      <c r="K4" s="42">
        <v>1</v>
      </c>
      <c r="L4" s="42">
        <v>1</v>
      </c>
      <c r="M4" s="42">
        <v>1</v>
      </c>
      <c r="O4" s="42" t="s">
        <v>82</v>
      </c>
      <c r="P4" s="42" t="s">
        <v>51</v>
      </c>
    </row>
    <row r="5" spans="1:16" x14ac:dyDescent="0.35">
      <c r="A5" s="42" t="s">
        <v>52</v>
      </c>
      <c r="B5" s="42">
        <v>1.05</v>
      </c>
      <c r="C5" s="42">
        <v>1.05</v>
      </c>
      <c r="D5" s="42">
        <v>1.05</v>
      </c>
      <c r="E5" s="42">
        <v>1.05</v>
      </c>
      <c r="F5" s="42">
        <v>1.05</v>
      </c>
      <c r="G5" s="42">
        <v>1.05</v>
      </c>
      <c r="H5" s="42">
        <v>1.05</v>
      </c>
      <c r="I5" s="42">
        <v>1.05</v>
      </c>
      <c r="J5" s="42">
        <v>1.05</v>
      </c>
      <c r="K5" s="42">
        <v>1.05</v>
      </c>
      <c r="L5" s="42">
        <v>1.05</v>
      </c>
      <c r="M5" s="42">
        <v>1.05</v>
      </c>
      <c r="O5" s="42" t="s">
        <v>83</v>
      </c>
      <c r="P5" s="42" t="s">
        <v>52</v>
      </c>
    </row>
    <row r="6" spans="1:16" x14ac:dyDescent="0.35">
      <c r="A6" s="42" t="s">
        <v>53</v>
      </c>
      <c r="B6" s="42">
        <v>1</v>
      </c>
      <c r="C6" s="42">
        <v>1</v>
      </c>
      <c r="D6" s="42">
        <v>1</v>
      </c>
      <c r="E6" s="42">
        <v>1</v>
      </c>
      <c r="F6" s="42">
        <v>1</v>
      </c>
      <c r="G6" s="42">
        <v>1</v>
      </c>
      <c r="H6" s="42">
        <v>1</v>
      </c>
      <c r="I6" s="42">
        <v>1</v>
      </c>
      <c r="J6" s="42">
        <v>1</v>
      </c>
      <c r="K6" s="42">
        <v>1</v>
      </c>
      <c r="L6" s="42">
        <v>1</v>
      </c>
      <c r="M6" s="42">
        <v>1</v>
      </c>
      <c r="O6" s="42" t="s">
        <v>84</v>
      </c>
      <c r="P6" s="42" t="s">
        <v>53</v>
      </c>
    </row>
    <row r="7" spans="1:16" x14ac:dyDescent="0.35">
      <c r="A7" s="42" t="s">
        <v>54</v>
      </c>
      <c r="B7" s="42">
        <v>1</v>
      </c>
      <c r="C7" s="42">
        <v>1</v>
      </c>
      <c r="D7" s="42">
        <v>1</v>
      </c>
      <c r="E7" s="42">
        <v>1</v>
      </c>
      <c r="F7" s="42">
        <v>1</v>
      </c>
      <c r="G7" s="42">
        <v>1</v>
      </c>
      <c r="H7" s="42">
        <v>1</v>
      </c>
      <c r="I7" s="42">
        <v>1</v>
      </c>
      <c r="J7" s="42">
        <v>1</v>
      </c>
      <c r="K7" s="42">
        <v>1</v>
      </c>
      <c r="L7" s="42">
        <v>1</v>
      </c>
      <c r="M7" s="42">
        <v>1</v>
      </c>
      <c r="O7" s="42" t="s">
        <v>85</v>
      </c>
      <c r="P7" s="42" t="s">
        <v>54</v>
      </c>
    </row>
    <row r="8" spans="1:16" x14ac:dyDescent="0.35">
      <c r="A8" s="42" t="s">
        <v>55</v>
      </c>
      <c r="B8" s="42">
        <v>1</v>
      </c>
      <c r="C8" s="42">
        <v>1</v>
      </c>
      <c r="D8" s="42">
        <v>1</v>
      </c>
      <c r="E8" s="42">
        <v>1</v>
      </c>
      <c r="F8" s="42">
        <v>1</v>
      </c>
      <c r="G8" s="42">
        <v>1</v>
      </c>
      <c r="H8" s="42">
        <v>1</v>
      </c>
      <c r="I8" s="42">
        <v>1</v>
      </c>
      <c r="J8" s="42">
        <v>1</v>
      </c>
      <c r="K8" s="42">
        <v>1</v>
      </c>
      <c r="L8" s="42">
        <v>1</v>
      </c>
      <c r="M8" s="42">
        <v>1</v>
      </c>
      <c r="O8" s="42" t="s">
        <v>86</v>
      </c>
      <c r="P8" s="42" t="s">
        <v>52</v>
      </c>
    </row>
    <row r="9" spans="1:16" x14ac:dyDescent="0.35">
      <c r="A9" s="42" t="s">
        <v>56</v>
      </c>
      <c r="B9" s="42">
        <v>1.1000000000000001</v>
      </c>
      <c r="C9" s="42">
        <v>1.1000000000000001</v>
      </c>
      <c r="D9" s="42">
        <v>1.2</v>
      </c>
      <c r="E9" s="42">
        <v>1.3</v>
      </c>
      <c r="F9" s="42">
        <v>1.2</v>
      </c>
      <c r="G9" s="42">
        <v>1.1000000000000001</v>
      </c>
      <c r="H9" s="42">
        <v>1</v>
      </c>
      <c r="I9" s="42">
        <v>0.9</v>
      </c>
      <c r="J9" s="42">
        <v>0.85</v>
      </c>
      <c r="K9" s="42">
        <v>0.9</v>
      </c>
      <c r="L9" s="42">
        <v>1</v>
      </c>
      <c r="M9" s="42">
        <v>1.1000000000000001</v>
      </c>
      <c r="O9" s="42" t="s">
        <v>87</v>
      </c>
      <c r="P9" s="42" t="s">
        <v>88</v>
      </c>
    </row>
    <row r="10" spans="1:16" x14ac:dyDescent="0.35">
      <c r="A10" s="42" t="s">
        <v>57</v>
      </c>
      <c r="B10" s="42">
        <v>1</v>
      </c>
      <c r="C10" s="42">
        <v>1</v>
      </c>
      <c r="D10" s="42">
        <v>1</v>
      </c>
      <c r="E10" s="42">
        <v>1</v>
      </c>
      <c r="F10" s="42">
        <v>1</v>
      </c>
      <c r="G10" s="42">
        <v>1</v>
      </c>
      <c r="H10" s="42">
        <v>1</v>
      </c>
      <c r="I10" s="42">
        <v>1</v>
      </c>
      <c r="J10" s="42">
        <v>1.1000000000000001</v>
      </c>
      <c r="K10" s="42">
        <v>1.1000000000000001</v>
      </c>
      <c r="L10" s="42">
        <v>1.2</v>
      </c>
      <c r="M10" s="42">
        <v>1.2</v>
      </c>
      <c r="O10" s="42" t="s">
        <v>89</v>
      </c>
      <c r="P10" s="42" t="s">
        <v>55</v>
      </c>
    </row>
    <row r="11" spans="1:16" x14ac:dyDescent="0.35">
      <c r="A11" s="42" t="s">
        <v>58</v>
      </c>
      <c r="B11" s="42">
        <v>1</v>
      </c>
      <c r="C11" s="42">
        <v>1</v>
      </c>
      <c r="D11" s="42">
        <v>1</v>
      </c>
      <c r="E11" s="42">
        <v>1</v>
      </c>
      <c r="F11" s="42">
        <v>1</v>
      </c>
      <c r="G11" s="42">
        <v>1</v>
      </c>
      <c r="H11" s="42">
        <v>1</v>
      </c>
      <c r="I11" s="42">
        <v>1</v>
      </c>
      <c r="J11" s="42">
        <v>1</v>
      </c>
      <c r="K11" s="42">
        <v>1</v>
      </c>
      <c r="L11" s="42">
        <v>1</v>
      </c>
      <c r="M11" s="42">
        <v>1</v>
      </c>
      <c r="O11" s="42" t="s">
        <v>90</v>
      </c>
      <c r="P11" s="42" t="s">
        <v>56</v>
      </c>
    </row>
    <row r="12" spans="1:16" x14ac:dyDescent="0.35">
      <c r="A12" s="42" t="s">
        <v>59</v>
      </c>
      <c r="B12" s="42">
        <v>1</v>
      </c>
      <c r="C12" s="42">
        <v>1</v>
      </c>
      <c r="D12" s="42">
        <v>1</v>
      </c>
      <c r="E12" s="42">
        <v>1</v>
      </c>
      <c r="F12" s="42">
        <v>1</v>
      </c>
      <c r="G12" s="42">
        <v>1</v>
      </c>
      <c r="H12" s="42">
        <v>1</v>
      </c>
      <c r="I12" s="42">
        <v>1</v>
      </c>
      <c r="J12" s="42">
        <v>1</v>
      </c>
      <c r="K12" s="42">
        <v>1</v>
      </c>
      <c r="L12" s="42">
        <v>1</v>
      </c>
      <c r="M12" s="42">
        <v>1</v>
      </c>
      <c r="O12" s="42" t="s">
        <v>91</v>
      </c>
      <c r="P12" s="42" t="s">
        <v>57</v>
      </c>
    </row>
    <row r="13" spans="1:16" x14ac:dyDescent="0.35">
      <c r="A13" s="42" t="s">
        <v>60</v>
      </c>
      <c r="B13" s="42">
        <v>1</v>
      </c>
      <c r="C13" s="42">
        <v>1</v>
      </c>
      <c r="D13" s="42">
        <v>1</v>
      </c>
      <c r="E13" s="42">
        <v>1</v>
      </c>
      <c r="F13" s="42">
        <v>1</v>
      </c>
      <c r="G13" s="42">
        <v>1</v>
      </c>
      <c r="H13" s="42">
        <v>1</v>
      </c>
      <c r="I13" s="42">
        <v>1</v>
      </c>
      <c r="J13" s="42">
        <v>1</v>
      </c>
      <c r="K13" s="42">
        <v>1</v>
      </c>
      <c r="L13" s="42">
        <v>1</v>
      </c>
      <c r="M13" s="42">
        <v>1</v>
      </c>
      <c r="O13" s="42" t="s">
        <v>92</v>
      </c>
      <c r="P13" s="42" t="s">
        <v>57</v>
      </c>
    </row>
    <row r="14" spans="1:16" x14ac:dyDescent="0.35">
      <c r="A14" s="42" t="s">
        <v>61</v>
      </c>
      <c r="B14" s="42">
        <v>1</v>
      </c>
      <c r="C14" s="42">
        <v>1</v>
      </c>
      <c r="D14" s="42">
        <v>1</v>
      </c>
      <c r="E14" s="42">
        <v>1</v>
      </c>
      <c r="F14" s="42">
        <v>1</v>
      </c>
      <c r="G14" s="42">
        <v>1</v>
      </c>
      <c r="H14" s="42">
        <v>1</v>
      </c>
      <c r="I14" s="42">
        <v>1</v>
      </c>
      <c r="J14" s="42">
        <v>1</v>
      </c>
      <c r="K14" s="42">
        <v>1</v>
      </c>
      <c r="L14" s="42">
        <v>1</v>
      </c>
      <c r="M14" s="42">
        <v>1</v>
      </c>
      <c r="O14" s="42" t="s">
        <v>93</v>
      </c>
      <c r="P14" s="42" t="s">
        <v>52</v>
      </c>
    </row>
    <row r="15" spans="1:16" x14ac:dyDescent="0.35">
      <c r="A15" s="42" t="s">
        <v>62</v>
      </c>
      <c r="B15" s="42">
        <v>1</v>
      </c>
      <c r="C15" s="42">
        <v>1</v>
      </c>
      <c r="D15" s="42">
        <v>1</v>
      </c>
      <c r="E15" s="42">
        <v>1</v>
      </c>
      <c r="F15" s="42">
        <v>1</v>
      </c>
      <c r="G15" s="42">
        <v>1</v>
      </c>
      <c r="H15" s="42">
        <v>1</v>
      </c>
      <c r="I15" s="42">
        <v>1</v>
      </c>
      <c r="J15" s="42">
        <v>1</v>
      </c>
      <c r="K15" s="42">
        <v>1</v>
      </c>
      <c r="L15" s="42">
        <v>1</v>
      </c>
      <c r="M15" s="42">
        <v>1</v>
      </c>
      <c r="O15" s="42" t="s">
        <v>94</v>
      </c>
      <c r="P15" s="42" t="s">
        <v>57</v>
      </c>
    </row>
    <row r="16" spans="1:16" x14ac:dyDescent="0.35">
      <c r="A16" s="42" t="s">
        <v>63</v>
      </c>
      <c r="B16" s="42">
        <v>1.05</v>
      </c>
      <c r="C16" s="42">
        <v>1.05</v>
      </c>
      <c r="D16" s="42">
        <v>1.05</v>
      </c>
      <c r="E16" s="42">
        <v>1.05</v>
      </c>
      <c r="F16" s="42">
        <v>1.05</v>
      </c>
      <c r="G16" s="42">
        <v>1.05</v>
      </c>
      <c r="H16" s="42">
        <v>1.05</v>
      </c>
      <c r="I16" s="42">
        <v>1.05</v>
      </c>
      <c r="J16" s="42">
        <v>1.05</v>
      </c>
      <c r="K16" s="42">
        <v>1.05</v>
      </c>
      <c r="L16" s="42">
        <v>1.05</v>
      </c>
      <c r="M16" s="42">
        <v>1.05</v>
      </c>
      <c r="O16" s="42" t="s">
        <v>95</v>
      </c>
      <c r="P16" s="42" t="s">
        <v>58</v>
      </c>
    </row>
    <row r="17" spans="1:16" x14ac:dyDescent="0.35">
      <c r="A17" s="42" t="s">
        <v>64</v>
      </c>
      <c r="B17" s="42">
        <v>1</v>
      </c>
      <c r="C17" s="42">
        <v>1</v>
      </c>
      <c r="D17" s="42">
        <v>1</v>
      </c>
      <c r="E17" s="42">
        <v>1</v>
      </c>
      <c r="F17" s="42">
        <v>1</v>
      </c>
      <c r="G17" s="42">
        <v>1</v>
      </c>
      <c r="H17" s="42">
        <v>1</v>
      </c>
      <c r="I17" s="42">
        <v>1</v>
      </c>
      <c r="J17" s="42">
        <v>1</v>
      </c>
      <c r="K17" s="42">
        <v>1</v>
      </c>
      <c r="L17" s="42">
        <v>1</v>
      </c>
      <c r="M17" s="42">
        <v>1</v>
      </c>
      <c r="O17" s="42" t="s">
        <v>96</v>
      </c>
      <c r="P17" s="42" t="s">
        <v>56</v>
      </c>
    </row>
    <row r="18" spans="1:16" x14ac:dyDescent="0.35">
      <c r="O18" s="42" t="s">
        <v>97</v>
      </c>
      <c r="P18" s="42" t="s">
        <v>59</v>
      </c>
    </row>
    <row r="19" spans="1:16" x14ac:dyDescent="0.35">
      <c r="O19" s="42" t="s">
        <v>98</v>
      </c>
      <c r="P19" s="42" t="s">
        <v>60</v>
      </c>
    </row>
    <row r="20" spans="1:16" x14ac:dyDescent="0.35">
      <c r="O20" s="42" t="s">
        <v>99</v>
      </c>
      <c r="P20" s="42" t="s">
        <v>61</v>
      </c>
    </row>
    <row r="21" spans="1:16" x14ac:dyDescent="0.35">
      <c r="O21" s="42" t="s">
        <v>100</v>
      </c>
      <c r="P21" s="42" t="s">
        <v>61</v>
      </c>
    </row>
    <row r="22" spans="1:16" x14ac:dyDescent="0.35">
      <c r="O22" s="42" t="s">
        <v>101</v>
      </c>
      <c r="P22" s="42" t="s">
        <v>62</v>
      </c>
    </row>
    <row r="23" spans="1:16" x14ac:dyDescent="0.35">
      <c r="O23" s="42" t="s">
        <v>102</v>
      </c>
      <c r="P23" s="42" t="s">
        <v>62</v>
      </c>
    </row>
    <row r="24" spans="1:16" x14ac:dyDescent="0.35">
      <c r="O24" s="42" t="s">
        <v>103</v>
      </c>
      <c r="P24" s="42" t="s">
        <v>62</v>
      </c>
    </row>
    <row r="25" spans="1:16" x14ac:dyDescent="0.35">
      <c r="O25" s="42" t="s">
        <v>104</v>
      </c>
      <c r="P25" s="42" t="s">
        <v>63</v>
      </c>
    </row>
    <row r="26" spans="1:16" x14ac:dyDescent="0.35">
      <c r="O26" s="42" t="s">
        <v>105</v>
      </c>
      <c r="P26" s="42" t="s">
        <v>64</v>
      </c>
    </row>
    <row r="27" spans="1:16" x14ac:dyDescent="0.35">
      <c r="O27" s="42" t="s">
        <v>106</v>
      </c>
      <c r="P27" s="42" t="s">
        <v>49</v>
      </c>
    </row>
    <row r="28" spans="1:16" x14ac:dyDescent="0.35">
      <c r="O28" s="42" t="s">
        <v>107</v>
      </c>
      <c r="P28" s="42" t="s">
        <v>62</v>
      </c>
    </row>
    <row r="29" spans="1:16" x14ac:dyDescent="0.35">
      <c r="O29" s="42" t="s">
        <v>108</v>
      </c>
      <c r="P29" s="42" t="s">
        <v>61</v>
      </c>
    </row>
    <row r="30" spans="1:16" x14ac:dyDescent="0.35">
      <c r="O30" s="43" t="s">
        <v>114</v>
      </c>
      <c r="P30" s="42" t="s">
        <v>50</v>
      </c>
    </row>
    <row r="31" spans="1:16" x14ac:dyDescent="0.35">
      <c r="O31" s="43" t="s">
        <v>109</v>
      </c>
      <c r="P31" s="42" t="s">
        <v>62</v>
      </c>
    </row>
    <row r="32" spans="1:16" x14ac:dyDescent="0.35">
      <c r="O32" s="43" t="s">
        <v>110</v>
      </c>
      <c r="P32" s="42" t="s">
        <v>61</v>
      </c>
    </row>
    <row r="33" spans="15:16" x14ac:dyDescent="0.35">
      <c r="O33" s="43" t="s">
        <v>113</v>
      </c>
      <c r="P33" s="42" t="s">
        <v>62</v>
      </c>
    </row>
    <row r="34" spans="15:16" x14ac:dyDescent="0.35">
      <c r="O34" s="44" t="s">
        <v>115</v>
      </c>
      <c r="P34" s="42" t="s">
        <v>62</v>
      </c>
    </row>
    <row r="35" spans="15:16" x14ac:dyDescent="0.35">
      <c r="O35" s="44" t="s">
        <v>117</v>
      </c>
      <c r="P35" s="42" t="s">
        <v>62</v>
      </c>
    </row>
    <row r="36" spans="15:16" x14ac:dyDescent="0.35">
      <c r="O36" s="44" t="s">
        <v>118</v>
      </c>
      <c r="P36" s="42" t="s">
        <v>61</v>
      </c>
    </row>
    <row r="37" spans="15:16" x14ac:dyDescent="0.35">
      <c r="O37" s="45" t="s">
        <v>122</v>
      </c>
      <c r="P37" s="42" t="s">
        <v>56</v>
      </c>
    </row>
    <row r="38" spans="15:16" x14ac:dyDescent="0.35">
      <c r="O38" s="45" t="s">
        <v>123</v>
      </c>
      <c r="P38" s="42" t="s">
        <v>56</v>
      </c>
    </row>
    <row r="39" spans="15:16" x14ac:dyDescent="0.35">
      <c r="O39" s="45" t="s">
        <v>119</v>
      </c>
      <c r="P39" s="42" t="s">
        <v>60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0" zoomScaleNormal="110" workbookViewId="0">
      <selection activeCell="J2" sqref="J2"/>
    </sheetView>
  </sheetViews>
  <sheetFormatPr defaultColWidth="8.5546875" defaultRowHeight="14.4" x14ac:dyDescent="0.3"/>
  <cols>
    <col min="1" max="1" width="30.5546875" customWidth="1"/>
    <col min="2" max="2" width="17.5546875" style="83" customWidth="1"/>
    <col min="3" max="3" width="16" style="28" customWidth="1"/>
    <col min="4" max="4" width="13.6640625" customWidth="1"/>
    <col min="5" max="5" width="22" style="11" customWidth="1"/>
    <col min="6" max="6" width="13.6640625" customWidth="1"/>
    <col min="7" max="7" width="17.33203125" style="28" customWidth="1"/>
    <col min="9" max="9" width="9" bestFit="1" customWidth="1"/>
    <col min="10" max="10" width="12.21875" bestFit="1" customWidth="1"/>
  </cols>
  <sheetData>
    <row r="1" spans="1:10" ht="18" x14ac:dyDescent="0.35">
      <c r="A1" s="1" t="s">
        <v>0</v>
      </c>
      <c r="B1" s="81"/>
      <c r="C1" s="21"/>
      <c r="D1" s="2"/>
      <c r="E1" s="10"/>
      <c r="F1" s="2"/>
      <c r="G1" s="21"/>
    </row>
    <row r="2" spans="1:10" ht="18" thickBot="1" x14ac:dyDescent="0.4">
      <c r="A2" s="18" t="s">
        <v>1</v>
      </c>
      <c r="B2" s="103" t="s">
        <v>2</v>
      </c>
      <c r="C2" s="22" t="s">
        <v>3</v>
      </c>
      <c r="D2" s="19" t="s">
        <v>46</v>
      </c>
      <c r="E2" s="20" t="s">
        <v>48</v>
      </c>
      <c r="F2" s="19" t="s">
        <v>65</v>
      </c>
      <c r="G2" s="22" t="s">
        <v>78</v>
      </c>
      <c r="I2" s="3" t="s">
        <v>4</v>
      </c>
      <c r="J2" s="4">
        <f>SUMIF(tab_setembro_24[Tipo],"Receita",tab_setembro_24[Valor]) + 49018</f>
        <v>52056.5</v>
      </c>
    </row>
    <row r="3" spans="1:10" x14ac:dyDescent="0.3">
      <c r="A3" s="12" t="s">
        <v>5</v>
      </c>
      <c r="B3" s="13">
        <v>45536</v>
      </c>
      <c r="C3" s="23">
        <v>260</v>
      </c>
      <c r="D3" s="14" t="s">
        <v>47</v>
      </c>
      <c r="E3" s="38" t="str" cm="1">
        <f t="array" ref="E3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3" s="14" t="s">
        <v>124</v>
      </c>
      <c r="G3" s="23" cm="1">
        <f t="array" ref="G3">IFERROR($C3 * INDEX(tab_sazonalidade[[Jan]:[Dez]], MATCH($E3, tab_sazonalidade[Categoria], 0), MONTH($B3)), $C3)</f>
        <v>234</v>
      </c>
      <c r="I3" s="3" t="s">
        <v>6</v>
      </c>
      <c r="J3" s="6">
        <f>SUMIF(tab_setembro_24[Tipo],"Despesa",tab_setembro_24[Valor])</f>
        <v>12082.21</v>
      </c>
    </row>
    <row r="4" spans="1:10" x14ac:dyDescent="0.3">
      <c r="A4" s="12" t="s">
        <v>7</v>
      </c>
      <c r="B4" s="13">
        <v>45537</v>
      </c>
      <c r="C4" s="23">
        <v>74.849999999999994</v>
      </c>
      <c r="D4" s="14" t="s">
        <v>47</v>
      </c>
      <c r="E4" s="38" t="str" cm="1">
        <f t="array" ref="E4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4" s="14" t="s">
        <v>125</v>
      </c>
      <c r="G4" s="23" cm="1">
        <f t="array" ref="G4">IFERROR($C4 * INDEX(tab_sazonalidade[[Jan]:[Dez]], MATCH($E4, tab_sazonalidade[Categoria], 0), MONTH($B4)), $C4)</f>
        <v>67.364999999999995</v>
      </c>
      <c r="I4" s="7" t="s">
        <v>8</v>
      </c>
      <c r="J4" s="8">
        <f>J2-J3</f>
        <v>39974.29</v>
      </c>
    </row>
    <row r="5" spans="1:10" x14ac:dyDescent="0.3">
      <c r="A5" s="12" t="s">
        <v>9</v>
      </c>
      <c r="B5" s="13">
        <v>45540</v>
      </c>
      <c r="C5" s="24">
        <v>4392.57</v>
      </c>
      <c r="D5" s="14" t="s">
        <v>47</v>
      </c>
      <c r="E5" s="38" t="str" cm="1">
        <f t="array" ref="E5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Recursos Humanos</v>
      </c>
      <c r="F5" s="14" t="s">
        <v>126</v>
      </c>
      <c r="G5" s="23" cm="1">
        <f t="array" ref="G5">IFERROR($C5 * INDEX(tab_sazonalidade[[Jan]:[Dez]], MATCH($E5, tab_sazonalidade[Categoria], 0), MONTH($B5)), $C5)</f>
        <v>4392.57</v>
      </c>
    </row>
    <row r="6" spans="1:10" x14ac:dyDescent="0.3">
      <c r="A6" s="12" t="s">
        <v>10</v>
      </c>
      <c r="B6" s="13">
        <v>45540</v>
      </c>
      <c r="C6" s="25">
        <v>480.1</v>
      </c>
      <c r="D6" s="14" t="s">
        <v>47</v>
      </c>
      <c r="E6" s="38" t="str" cm="1">
        <f t="array" ref="E6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Software</v>
      </c>
      <c r="F6" s="14" t="s">
        <v>124</v>
      </c>
      <c r="G6" s="23" cm="1">
        <f t="array" ref="G6">IFERROR($C6 * INDEX(tab_sazonalidade[[Jan]:[Dez]], MATCH($E6, tab_sazonalidade[Categoria], 0), MONTH($B6)), $C6)</f>
        <v>480.1</v>
      </c>
    </row>
    <row r="7" spans="1:10" x14ac:dyDescent="0.3">
      <c r="A7" s="12" t="s">
        <v>11</v>
      </c>
      <c r="B7" s="13">
        <v>45540</v>
      </c>
      <c r="C7" s="25">
        <v>240.98</v>
      </c>
      <c r="D7" s="14" t="s">
        <v>47</v>
      </c>
      <c r="E7" s="38" t="str" cm="1">
        <f t="array" ref="E7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7" s="14" t="s">
        <v>124</v>
      </c>
      <c r="G7" s="23" cm="1">
        <f t="array" ref="G7">IFERROR($C7 * INDEX(tab_sazonalidade[[Jan]:[Dez]], MATCH($E7, tab_sazonalidade[Categoria], 0), MONTH($B7)), $C7)</f>
        <v>253.029</v>
      </c>
      <c r="I7" s="37"/>
    </row>
    <row r="8" spans="1:10" x14ac:dyDescent="0.3">
      <c r="A8" s="12" t="s">
        <v>12</v>
      </c>
      <c r="B8" s="13">
        <v>45540</v>
      </c>
      <c r="C8" s="25">
        <v>98.3</v>
      </c>
      <c r="D8" s="14" t="s">
        <v>47</v>
      </c>
      <c r="E8" s="38" t="str" cm="1">
        <f t="array" ref="E8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Saneamento</v>
      </c>
      <c r="F8" s="14" t="s">
        <v>124</v>
      </c>
      <c r="G8" s="23" cm="1">
        <f t="array" ref="G8">IFERROR($C8 * INDEX(tab_sazonalidade[[Jan]:[Dez]], MATCH($E8, tab_sazonalidade[Categoria], 0), MONTH($B8)), $C8)</f>
        <v>98.3</v>
      </c>
    </row>
    <row r="9" spans="1:10" x14ac:dyDescent="0.3">
      <c r="A9" s="16" t="s">
        <v>13</v>
      </c>
      <c r="B9" s="17">
        <v>45542</v>
      </c>
      <c r="C9" s="26">
        <v>375.12</v>
      </c>
      <c r="D9" s="14" t="s">
        <v>47</v>
      </c>
      <c r="E9" s="38" t="str" cm="1">
        <f t="array" ref="E9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Encargos Trabalhistas</v>
      </c>
      <c r="F9" s="14" t="s">
        <v>124</v>
      </c>
      <c r="G9" s="23" cm="1">
        <f t="array" ref="G9">IFERROR($C9 * INDEX(tab_sazonalidade[[Jan]:[Dez]], MATCH($E9, tab_sazonalidade[Categoria], 0), MONTH($B9)), $C9)</f>
        <v>375.12</v>
      </c>
    </row>
    <row r="10" spans="1:10" x14ac:dyDescent="0.3">
      <c r="A10" s="12" t="s">
        <v>14</v>
      </c>
      <c r="B10" s="13">
        <v>45547</v>
      </c>
      <c r="C10" s="25">
        <v>119</v>
      </c>
      <c r="D10" s="14" t="s">
        <v>47</v>
      </c>
      <c r="E10" s="38" t="str" cm="1">
        <f t="array" ref="E10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0" s="14" t="s">
        <v>125</v>
      </c>
      <c r="G10" s="23" cm="1">
        <f t="array" ref="G10">IFERROR($C10 * INDEX(tab_sazonalidade[[Jan]:[Dez]], MATCH($E10, tab_sazonalidade[Categoria], 0), MONTH($B10)), $C10)</f>
        <v>124.95</v>
      </c>
    </row>
    <row r="11" spans="1:10" x14ac:dyDescent="0.3">
      <c r="A11" s="12" t="s">
        <v>15</v>
      </c>
      <c r="B11" s="13">
        <v>45550</v>
      </c>
      <c r="C11" s="25">
        <v>3038.5</v>
      </c>
      <c r="D11" s="14" t="s">
        <v>4</v>
      </c>
      <c r="E11" s="38" t="str" cm="1">
        <f t="array" ref="E11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Transferência</v>
      </c>
      <c r="F11" s="14" t="s">
        <v>126</v>
      </c>
      <c r="G11" s="23" cm="1">
        <f t="array" ref="G11">IFERROR($C11 * INDEX(tab_sazonalidade[[Jan]:[Dez]], MATCH($E11, tab_sazonalidade[Categoria], 0), MONTH($B11)), $C11)</f>
        <v>3038.5</v>
      </c>
    </row>
    <row r="12" spans="1:10" x14ac:dyDescent="0.3">
      <c r="A12" s="16" t="s">
        <v>16</v>
      </c>
      <c r="B12" s="13">
        <v>45550</v>
      </c>
      <c r="C12" s="25">
        <v>752.75</v>
      </c>
      <c r="D12" s="14" t="s">
        <v>47</v>
      </c>
      <c r="E12" s="38" t="str" cm="1">
        <f t="array" ref="E12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Assessoria</v>
      </c>
      <c r="F12" s="14" t="s">
        <v>126</v>
      </c>
      <c r="G12" s="23" cm="1">
        <f t="array" ref="G12">IFERROR($C12 * INDEX(tab_sazonalidade[[Jan]:[Dez]], MATCH($E12, tab_sazonalidade[Categoria], 0), MONTH($B12)), $C12)</f>
        <v>752.75</v>
      </c>
    </row>
    <row r="13" spans="1:10" x14ac:dyDescent="0.3">
      <c r="A13" s="12" t="s">
        <v>17</v>
      </c>
      <c r="B13" s="13">
        <v>45551</v>
      </c>
      <c r="C13" s="25">
        <v>50</v>
      </c>
      <c r="D13" s="14" t="s">
        <v>47</v>
      </c>
      <c r="E13" s="38" t="str" cm="1">
        <f t="array" ref="E13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3" s="14" t="s">
        <v>126</v>
      </c>
      <c r="G13" s="23" cm="1">
        <f t="array" ref="G13">IFERROR($C13 * INDEX(tab_sazonalidade[[Jan]:[Dez]], MATCH($E13, tab_sazonalidade[Categoria], 0), MONTH($B13)), $C13)</f>
        <v>42.5</v>
      </c>
    </row>
    <row r="14" spans="1:10" x14ac:dyDescent="0.3">
      <c r="A14" s="16" t="s">
        <v>18</v>
      </c>
      <c r="B14" s="17">
        <v>45555</v>
      </c>
      <c r="C14" s="26">
        <v>1101.01</v>
      </c>
      <c r="D14" s="14" t="s">
        <v>47</v>
      </c>
      <c r="E14" s="38" t="str" cm="1">
        <f t="array" ref="E14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4" s="14" t="s">
        <v>125</v>
      </c>
      <c r="G14" s="23" cm="1">
        <f t="array" ref="G14">IFERROR($C14 * INDEX(tab_sazonalidade[[Jan]:[Dez]], MATCH($E14, tab_sazonalidade[Categoria], 0), MONTH($B14)), $C14)</f>
        <v>1211.1110000000001</v>
      </c>
    </row>
    <row r="15" spans="1:10" x14ac:dyDescent="0.3">
      <c r="A15" s="16" t="s">
        <v>19</v>
      </c>
      <c r="B15" s="17">
        <v>45555</v>
      </c>
      <c r="C15" s="26">
        <v>1061.1199999999999</v>
      </c>
      <c r="D15" s="14" t="s">
        <v>47</v>
      </c>
      <c r="E15" s="38" t="str" cm="1">
        <f t="array" ref="E15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5" s="14" t="s">
        <v>125</v>
      </c>
      <c r="G15" s="23" cm="1">
        <f t="array" ref="G15">IFERROR($C15 * INDEX(tab_sazonalidade[[Jan]:[Dez]], MATCH($E15, tab_sazonalidade[Categoria], 0), MONTH($B15)), $C15)</f>
        <v>1167.232</v>
      </c>
    </row>
    <row r="16" spans="1:10" x14ac:dyDescent="0.3">
      <c r="A16" s="16" t="s">
        <v>20</v>
      </c>
      <c r="B16" s="17">
        <v>45560</v>
      </c>
      <c r="C16" s="26">
        <v>241.69</v>
      </c>
      <c r="D16" s="14" t="s">
        <v>47</v>
      </c>
      <c r="E16" s="38" t="str" cm="1">
        <f t="array" ref="E16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6" s="14" t="s">
        <v>126</v>
      </c>
      <c r="G16" s="23" cm="1">
        <f t="array" ref="G16">IFERROR($C16 * INDEX(tab_sazonalidade[[Jan]:[Dez]], MATCH($E16, tab_sazonalidade[Categoria], 0), MONTH($B16)), $C16)</f>
        <v>253.77450000000002</v>
      </c>
    </row>
    <row r="17" spans="1:7" x14ac:dyDescent="0.3">
      <c r="A17" s="16" t="s">
        <v>21</v>
      </c>
      <c r="B17" s="17">
        <v>45560</v>
      </c>
      <c r="C17" s="26">
        <v>138.27000000000001</v>
      </c>
      <c r="D17" s="14" t="s">
        <v>47</v>
      </c>
      <c r="E17" s="38" t="str" cm="1">
        <f t="array" ref="E17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7" s="14" t="s">
        <v>124</v>
      </c>
      <c r="G17" s="23" cm="1">
        <f t="array" ref="G17">IFERROR($C17 * INDEX(tab_sazonalidade[[Jan]:[Dez]], MATCH($E17, tab_sazonalidade[Categoria], 0), MONTH($B17)), $C17)</f>
        <v>152.09700000000004</v>
      </c>
    </row>
    <row r="18" spans="1:7" x14ac:dyDescent="0.3">
      <c r="A18" s="16" t="s">
        <v>22</v>
      </c>
      <c r="B18" s="17">
        <v>45560</v>
      </c>
      <c r="C18" s="26">
        <v>73</v>
      </c>
      <c r="D18" s="14" t="s">
        <v>47</v>
      </c>
      <c r="E18" s="38" t="str" cm="1">
        <f t="array" ref="E18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Segurança</v>
      </c>
      <c r="F18" s="14" t="s">
        <v>126</v>
      </c>
      <c r="G18" s="23" cm="1">
        <f t="array" ref="G18">IFERROR($C18 * INDEX(tab_sazonalidade[[Jan]:[Dez]], MATCH($E18, tab_sazonalidade[Categoria], 0), MONTH($B18)), $C18)</f>
        <v>73</v>
      </c>
    </row>
    <row r="19" spans="1:7" x14ac:dyDescent="0.3">
      <c r="A19" s="16" t="s">
        <v>23</v>
      </c>
      <c r="B19" s="17">
        <v>45561</v>
      </c>
      <c r="C19" s="26">
        <v>700</v>
      </c>
      <c r="D19" s="14" t="s">
        <v>47</v>
      </c>
      <c r="E19" s="38" t="str" cm="1">
        <f t="array" ref="E19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9" s="14" t="s">
        <v>126</v>
      </c>
      <c r="G19" s="23" cm="1">
        <f t="array" ref="G19">IFERROR($C19 * INDEX(tab_sazonalidade[[Jan]:[Dez]], MATCH($E19, tab_sazonalidade[Categoria], 0), MONTH($B19)), $C19)</f>
        <v>595</v>
      </c>
    </row>
    <row r="20" spans="1:7" x14ac:dyDescent="0.3">
      <c r="A20" s="12" t="s">
        <v>24</v>
      </c>
      <c r="B20" s="17">
        <v>45562</v>
      </c>
      <c r="C20" s="23">
        <v>10</v>
      </c>
      <c r="D20" s="14" t="s">
        <v>47</v>
      </c>
      <c r="E20" s="38" t="str" cm="1">
        <f t="array" ref="E20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Transporte</v>
      </c>
      <c r="F20" s="14" t="s">
        <v>125</v>
      </c>
      <c r="G20" s="23" cm="1">
        <f t="array" ref="G20">IFERROR($C20 * INDEX(tab_sazonalidade[[Jan]:[Dez]], MATCH($E20, tab_sazonalidade[Categoria], 0), MONTH($B20)), $C20)</f>
        <v>10</v>
      </c>
    </row>
    <row r="21" spans="1:7" x14ac:dyDescent="0.3">
      <c r="A21" s="16" t="s">
        <v>25</v>
      </c>
      <c r="B21" s="17">
        <v>45563</v>
      </c>
      <c r="C21" s="27">
        <v>347.14</v>
      </c>
      <c r="D21" s="14" t="s">
        <v>47</v>
      </c>
      <c r="E21" s="38" t="str" cm="1">
        <f t="array" ref="E21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Financeiro</v>
      </c>
      <c r="F21" s="14" t="s">
        <v>125</v>
      </c>
      <c r="G21" s="23" cm="1">
        <f t="array" ref="G21">IFERROR($C21 * INDEX(tab_sazonalidade[[Jan]:[Dez]], MATCH($E21, tab_sazonalidade[Categoria], 0), MONTH($B21)), $C21)</f>
        <v>347.14</v>
      </c>
    </row>
    <row r="22" spans="1:7" x14ac:dyDescent="0.3">
      <c r="A22" s="12" t="s">
        <v>26</v>
      </c>
      <c r="B22" s="17">
        <v>45564</v>
      </c>
      <c r="C22" s="23">
        <v>330.41</v>
      </c>
      <c r="D22" s="14" t="s">
        <v>47</v>
      </c>
      <c r="E22" s="38" t="str" cm="1">
        <f t="array" ref="E22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2" s="14" t="s">
        <v>124</v>
      </c>
      <c r="G22" s="23" cm="1">
        <f t="array" ref="G22">IFERROR($C22 * INDEX(tab_sazonalidade[[Jan]:[Dez]], MATCH($E22, tab_sazonalidade[Categoria], 0), MONTH($B22)), $C22)</f>
        <v>330.41</v>
      </c>
    </row>
    <row r="23" spans="1:7" x14ac:dyDescent="0.3">
      <c r="A23" s="12" t="s">
        <v>27</v>
      </c>
      <c r="B23" s="17">
        <v>45565</v>
      </c>
      <c r="C23" s="23">
        <v>65.3</v>
      </c>
      <c r="D23" s="14" t="s">
        <v>47</v>
      </c>
      <c r="E23" s="38" t="str" cm="1">
        <f t="array" ref="E23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3" s="14" t="s">
        <v>125</v>
      </c>
      <c r="G23" s="23" cm="1">
        <f t="array" ref="G23">IFERROR($C23 * INDEX(tab_sazonalidade[[Jan]:[Dez]], MATCH($E23, tab_sazonalidade[Categoria], 0), MONTH($B23)), $C23)</f>
        <v>65.3</v>
      </c>
    </row>
    <row r="24" spans="1:7" x14ac:dyDescent="0.3">
      <c r="A24" s="12" t="s">
        <v>28</v>
      </c>
      <c r="B24" s="17">
        <v>45565</v>
      </c>
      <c r="C24" s="23">
        <v>165</v>
      </c>
      <c r="D24" s="14" t="s">
        <v>47</v>
      </c>
      <c r="E24" s="38" t="str" cm="1">
        <f t="array" ref="E24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4" s="14" t="s">
        <v>124</v>
      </c>
      <c r="G24" s="23" cm="1">
        <f t="array" ref="G24">IFERROR($C24 * INDEX(tab_sazonalidade[[Jan]:[Dez]], MATCH($E24, tab_sazonalidade[Categoria], 0), MONTH($B24)), $C24)</f>
        <v>165</v>
      </c>
    </row>
    <row r="25" spans="1:7" x14ac:dyDescent="0.3">
      <c r="A25" s="12" t="s">
        <v>29</v>
      </c>
      <c r="B25" s="17">
        <v>45565</v>
      </c>
      <c r="C25" s="23">
        <v>99</v>
      </c>
      <c r="D25" s="14" t="s">
        <v>47</v>
      </c>
      <c r="E25" s="38" t="str" cm="1">
        <f t="array" ref="E25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5" s="14" t="s">
        <v>124</v>
      </c>
      <c r="G25" s="23" cm="1">
        <f t="array" ref="G25">IFERROR($C25 * INDEX(tab_sazonalidade[[Jan]:[Dez]], MATCH($E25, tab_sazonalidade[Categoria], 0), MONTH($B25)), $C25)</f>
        <v>99</v>
      </c>
    </row>
    <row r="26" spans="1:7" x14ac:dyDescent="0.3">
      <c r="A26" s="12" t="s">
        <v>30</v>
      </c>
      <c r="B26" s="17">
        <v>45565</v>
      </c>
      <c r="C26" s="23">
        <v>382.5</v>
      </c>
      <c r="D26" s="14" t="s">
        <v>47</v>
      </c>
      <c r="E26" s="38" t="str" cm="1">
        <f t="array" ref="E26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6" s="14" t="s">
        <v>125</v>
      </c>
      <c r="G26" s="23" cm="1">
        <f t="array" ref="G26">IFERROR($C26 * INDEX(tab_sazonalidade[[Jan]:[Dez]], MATCH($E26, tab_sazonalidade[Categoria], 0), MONTH($B26)), $C26)</f>
        <v>382.5</v>
      </c>
    </row>
    <row r="27" spans="1:7" x14ac:dyDescent="0.3">
      <c r="A27" s="12" t="s">
        <v>31</v>
      </c>
      <c r="B27" s="17">
        <v>45565</v>
      </c>
      <c r="C27" s="23">
        <v>184.1</v>
      </c>
      <c r="D27" s="14" t="s">
        <v>47</v>
      </c>
      <c r="E27" s="38" t="str" cm="1">
        <f t="array" ref="E27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Alimentação</v>
      </c>
      <c r="F27" s="14" t="s">
        <v>125</v>
      </c>
      <c r="G27" s="23" cm="1">
        <f t="array" ref="G27">IFERROR($C27 * INDEX(tab_sazonalidade[[Jan]:[Dez]], MATCH($E27, tab_sazonalidade[Categoria], 0), MONTH($B27)), $C27)</f>
        <v>193.30500000000001</v>
      </c>
    </row>
    <row r="28" spans="1:7" x14ac:dyDescent="0.3">
      <c r="A28" s="12" t="s">
        <v>32</v>
      </c>
      <c r="B28" s="17">
        <v>45565</v>
      </c>
      <c r="C28" s="23">
        <v>340</v>
      </c>
      <c r="D28" s="14" t="s">
        <v>47</v>
      </c>
      <c r="E28" s="38" t="str" cm="1">
        <f t="array" ref="E28">_xlfn.LET(
    _xlpm.palavras, tab_categorias[Palavra-chave],
    _xlpm.categorias, tab_categorias[Categoria],
    _xlpm.texto, LOWER(TRIM(tab_setembro_24[[#This Row],[Item]])),
    _xlpm.posicoes, FIND(_xlpm.palavras, _xlpm.texto),
    _xlpm.valida, ISNUMBER(_xlpm.posicoes),
    _xlpm.índice_categoria, MATCH(TRUE,_xlpm.valida,0),
    INDEX(_xlpm.categorias, _xlpm.índice_categoria)
)</f>
        <v>Limpeza</v>
      </c>
      <c r="F28" s="14" t="s">
        <v>126</v>
      </c>
      <c r="G28" s="23" cm="1">
        <f t="array" ref="G28">IFERROR($C28 * INDEX(tab_sazonalidade[[Jan]:[Dez]], MATCH($E28, tab_sazonalidade[Categoria], 0), MONTH($B28)), $C28)</f>
        <v>340</v>
      </c>
    </row>
  </sheetData>
  <dataValidations disablePrompts="1" count="1">
    <dataValidation type="list" allowBlank="1" showInputMessage="1" showErrorMessage="1" sqref="D3:D28" xr:uid="{12D6927C-6D50-4B11-BB1E-348D22D82DEE}">
      <formula1>"Despesa,Receita"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zoomScaleNormal="100" workbookViewId="0">
      <selection activeCell="B12" sqref="B12"/>
    </sheetView>
  </sheetViews>
  <sheetFormatPr defaultColWidth="8.5546875" defaultRowHeight="17.399999999999999" x14ac:dyDescent="0.35"/>
  <cols>
    <col min="1" max="1" width="44.21875" style="41" customWidth="1"/>
    <col min="2" max="2" width="22.33203125" style="96" customWidth="1"/>
    <col min="3" max="3" width="15" style="102" customWidth="1"/>
    <col min="4" max="4" width="15" style="41" customWidth="1"/>
    <col min="5" max="5" width="19.44140625" style="45" bestFit="1" customWidth="1"/>
    <col min="6" max="6" width="15" style="58" customWidth="1"/>
    <col min="7" max="7" width="17.33203125" style="102" customWidth="1"/>
    <col min="8" max="8" width="8.5546875" style="41"/>
    <col min="9" max="9" width="10.5546875" style="41" bestFit="1" customWidth="1"/>
    <col min="10" max="10" width="14" style="41" bestFit="1" customWidth="1"/>
    <col min="11" max="16384" width="8.5546875" style="41"/>
  </cols>
  <sheetData>
    <row r="1" spans="1:10" x14ac:dyDescent="0.35">
      <c r="A1" s="46" t="s">
        <v>33</v>
      </c>
      <c r="B1" s="95"/>
      <c r="C1" s="97"/>
      <c r="D1" s="47"/>
      <c r="E1" s="48"/>
      <c r="F1" s="49"/>
      <c r="G1" s="97"/>
    </row>
    <row r="2" spans="1:10" ht="18" x14ac:dyDescent="0.35">
      <c r="A2" s="30" t="s">
        <v>1</v>
      </c>
      <c r="B2" s="82" t="s">
        <v>2</v>
      </c>
      <c r="C2" s="73" t="s">
        <v>3</v>
      </c>
      <c r="D2" s="30" t="s">
        <v>46</v>
      </c>
      <c r="E2" s="32" t="s">
        <v>48</v>
      </c>
      <c r="F2" s="33" t="s">
        <v>65</v>
      </c>
      <c r="G2" s="73" t="s">
        <v>78</v>
      </c>
      <c r="I2" s="41" t="s">
        <v>4</v>
      </c>
      <c r="J2" s="50">
        <v>64547</v>
      </c>
    </row>
    <row r="3" spans="1:10" x14ac:dyDescent="0.35">
      <c r="A3" s="45" t="s">
        <v>5</v>
      </c>
      <c r="B3" s="59">
        <v>45566</v>
      </c>
      <c r="C3" s="98">
        <v>260</v>
      </c>
      <c r="D3" s="51" t="s">
        <v>47</v>
      </c>
      <c r="E3" s="52" t="str" cm="1">
        <f t="array" ref="E3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3" s="53" t="s">
        <v>125</v>
      </c>
      <c r="G3" s="98" cm="1">
        <f t="array" ref="G3">IFERROR($C3 * INDEX(tab_sazonalidade[[Jan]:[Dez]], MATCH($E3, tab_sazonalidade[Categoria], 0), MONTH($B3)), $C3)</f>
        <v>260</v>
      </c>
      <c r="I3" s="41" t="s">
        <v>6</v>
      </c>
      <c r="J3" s="54" t="e">
        <f>#REF!</f>
        <v>#REF!</v>
      </c>
    </row>
    <row r="4" spans="1:10" x14ac:dyDescent="0.35">
      <c r="A4" s="45" t="s">
        <v>7</v>
      </c>
      <c r="B4" s="59">
        <v>45567</v>
      </c>
      <c r="C4" s="98">
        <v>81.91</v>
      </c>
      <c r="D4" s="51" t="s">
        <v>47</v>
      </c>
      <c r="E4" s="52" t="str" cm="1">
        <f t="array" ref="E4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4" s="53" t="s">
        <v>124</v>
      </c>
      <c r="G4" s="98" cm="1">
        <f t="array" ref="G4">IFERROR($C4 * INDEX(tab_sazonalidade[[Jan]:[Dez]], MATCH($E4, tab_sazonalidade[Categoria], 0), MONTH($B4)), $C4)</f>
        <v>81.91</v>
      </c>
      <c r="I4" s="46" t="s">
        <v>8</v>
      </c>
      <c r="J4" s="55" t="e">
        <f>J2-J3</f>
        <v>#REF!</v>
      </c>
    </row>
    <row r="5" spans="1:10" x14ac:dyDescent="0.35">
      <c r="A5" s="56" t="s">
        <v>9</v>
      </c>
      <c r="B5" s="60">
        <v>45570</v>
      </c>
      <c r="C5" s="99">
        <v>4201.29</v>
      </c>
      <c r="D5" s="51" t="s">
        <v>47</v>
      </c>
      <c r="E5" s="52" t="str" cm="1">
        <f t="array" ref="E5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Recursos Humanos</v>
      </c>
      <c r="F5" s="53" t="s">
        <v>124</v>
      </c>
      <c r="G5" s="99" cm="1">
        <f t="array" ref="G5">IFERROR($C5 * INDEX(tab_sazonalidade[[Jan]:[Dez]], MATCH($E5, tab_sazonalidade[Categoria], 0), MONTH($B5)), $C5)</f>
        <v>4201.29</v>
      </c>
    </row>
    <row r="6" spans="1:10" x14ac:dyDescent="0.35">
      <c r="A6" s="45" t="s">
        <v>10</v>
      </c>
      <c r="B6" s="60">
        <v>45570</v>
      </c>
      <c r="C6" s="99">
        <v>480.1</v>
      </c>
      <c r="D6" s="51" t="s">
        <v>47</v>
      </c>
      <c r="E6" s="52" t="str" cm="1">
        <f t="array" ref="E6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Software</v>
      </c>
      <c r="F6" s="53" t="s">
        <v>125</v>
      </c>
      <c r="G6" s="99" cm="1">
        <f t="array" ref="G6">IFERROR($C6 * INDEX(tab_sazonalidade[[Jan]:[Dez]], MATCH($E6, tab_sazonalidade[Categoria], 0), MONTH($B6)), $C6)</f>
        <v>480.1</v>
      </c>
    </row>
    <row r="7" spans="1:10" x14ac:dyDescent="0.35">
      <c r="A7" s="56" t="s">
        <v>11</v>
      </c>
      <c r="B7" s="60">
        <v>45570</v>
      </c>
      <c r="C7" s="100">
        <v>239.12</v>
      </c>
      <c r="D7" s="51" t="s">
        <v>47</v>
      </c>
      <c r="E7" s="52" t="str" cm="1">
        <f t="array" ref="E7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7" s="57" t="s">
        <v>125</v>
      </c>
      <c r="G7" s="100" cm="1">
        <f t="array" ref="G7">IFERROR($C7 * INDEX(tab_sazonalidade[[Jan]:[Dez]], MATCH($E7, tab_sazonalidade[Categoria], 0), MONTH($B7)), $C7)</f>
        <v>251.07600000000002</v>
      </c>
    </row>
    <row r="8" spans="1:10" x14ac:dyDescent="0.35">
      <c r="A8" s="56" t="s">
        <v>12</v>
      </c>
      <c r="B8" s="60">
        <v>45570</v>
      </c>
      <c r="C8" s="100">
        <v>98.3</v>
      </c>
      <c r="D8" s="51" t="s">
        <v>47</v>
      </c>
      <c r="E8" s="52" t="str" cm="1">
        <f t="array" ref="E8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Saneamento</v>
      </c>
      <c r="F8" s="57" t="s">
        <v>125</v>
      </c>
      <c r="G8" s="100" cm="1">
        <f t="array" ref="G8">IFERROR($C8 * INDEX(tab_sazonalidade[[Jan]:[Dez]], MATCH($E8, tab_sazonalidade[Categoria], 0), MONTH($B8)), $C8)</f>
        <v>98.3</v>
      </c>
    </row>
    <row r="9" spans="1:10" x14ac:dyDescent="0.35">
      <c r="A9" s="56" t="s">
        <v>13</v>
      </c>
      <c r="B9" s="60">
        <v>45572</v>
      </c>
      <c r="C9" s="100">
        <v>519.61</v>
      </c>
      <c r="D9" s="51" t="s">
        <v>47</v>
      </c>
      <c r="E9" s="52" t="str" cm="1">
        <f t="array" ref="E9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Encargos Trabalhistas</v>
      </c>
      <c r="F9" s="57" t="s">
        <v>126</v>
      </c>
      <c r="G9" s="100" cm="1">
        <f t="array" ref="G9">IFERROR($C9 * INDEX(tab_sazonalidade[[Jan]:[Dez]], MATCH($E9, tab_sazonalidade[Categoria], 0), MONTH($B9)), $C9)</f>
        <v>519.61</v>
      </c>
    </row>
    <row r="10" spans="1:10" x14ac:dyDescent="0.35">
      <c r="A10" s="56" t="s">
        <v>14</v>
      </c>
      <c r="B10" s="60">
        <v>45577</v>
      </c>
      <c r="C10" s="99">
        <v>119</v>
      </c>
      <c r="D10" s="51" t="s">
        <v>47</v>
      </c>
      <c r="E10" s="52" t="str" cm="1">
        <f t="array" ref="E10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0" s="53" t="s">
        <v>124</v>
      </c>
      <c r="G10" s="99" cm="1">
        <f t="array" ref="G10">IFERROR($C10 * INDEX(tab_sazonalidade[[Jan]:[Dez]], MATCH($E10, tab_sazonalidade[Categoria], 0), MONTH($B10)), $C10)</f>
        <v>124.95</v>
      </c>
    </row>
    <row r="11" spans="1:10" x14ac:dyDescent="0.35">
      <c r="A11" s="45" t="s">
        <v>15</v>
      </c>
      <c r="B11" s="60">
        <v>45580</v>
      </c>
      <c r="C11" s="100">
        <v>3442</v>
      </c>
      <c r="D11" s="51" t="s">
        <v>4</v>
      </c>
      <c r="E11" s="52" t="str" cm="1">
        <f t="array" ref="E11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Transferência</v>
      </c>
      <c r="F11" s="57" t="s">
        <v>124</v>
      </c>
      <c r="G11" s="100" cm="1">
        <f t="array" ref="G11">IFERROR($C11 * INDEX(tab_sazonalidade[[Jan]:[Dez]], MATCH($E11, tab_sazonalidade[Categoria], 0), MONTH($B11)), $C11)</f>
        <v>3442</v>
      </c>
    </row>
    <row r="12" spans="1:10" x14ac:dyDescent="0.35">
      <c r="A12" s="56" t="s">
        <v>16</v>
      </c>
      <c r="B12" s="60">
        <v>45580</v>
      </c>
      <c r="C12" s="99">
        <v>754</v>
      </c>
      <c r="D12" s="51" t="s">
        <v>47</v>
      </c>
      <c r="E12" s="52" t="str" cm="1">
        <f t="array" ref="E12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Assessoria</v>
      </c>
      <c r="F12" s="53" t="s">
        <v>124</v>
      </c>
      <c r="G12" s="99" cm="1">
        <f t="array" ref="G12">IFERROR($C12 * INDEX(tab_sazonalidade[[Jan]:[Dez]], MATCH($E12, tab_sazonalidade[Categoria], 0), MONTH($B12)), $C12)</f>
        <v>754</v>
      </c>
    </row>
    <row r="13" spans="1:10" x14ac:dyDescent="0.35">
      <c r="A13" s="56" t="s">
        <v>17</v>
      </c>
      <c r="B13" s="60">
        <v>45580</v>
      </c>
      <c r="C13" s="100">
        <v>50</v>
      </c>
      <c r="D13" s="51" t="s">
        <v>47</v>
      </c>
      <c r="E13" s="52" t="str" cm="1">
        <f t="array" ref="E13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3" s="57" t="s">
        <v>124</v>
      </c>
      <c r="G13" s="100" cm="1">
        <f t="array" ref="G13">IFERROR($C13 * INDEX(tab_sazonalidade[[Jan]:[Dez]], MATCH($E13, tab_sazonalidade[Categoria], 0), MONTH($B13)), $C13)</f>
        <v>45</v>
      </c>
    </row>
    <row r="14" spans="1:10" x14ac:dyDescent="0.35">
      <c r="A14" s="56" t="s">
        <v>18</v>
      </c>
      <c r="B14" s="60">
        <v>45585</v>
      </c>
      <c r="C14" s="100">
        <v>1101.01</v>
      </c>
      <c r="D14" s="51" t="s">
        <v>47</v>
      </c>
      <c r="E14" s="52" t="str" cm="1">
        <f t="array" ref="E14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4" s="57" t="s">
        <v>126</v>
      </c>
      <c r="G14" s="100" cm="1">
        <f t="array" ref="G14">IFERROR($C14 * INDEX(tab_sazonalidade[[Jan]:[Dez]], MATCH($E14, tab_sazonalidade[Categoria], 0), MONTH($B14)), $C14)</f>
        <v>1211.1110000000001</v>
      </c>
      <c r="H14" s="46"/>
    </row>
    <row r="15" spans="1:10" x14ac:dyDescent="0.35">
      <c r="A15" s="56" t="s">
        <v>19</v>
      </c>
      <c r="B15" s="60">
        <v>45586</v>
      </c>
      <c r="C15" s="100">
        <v>996.72</v>
      </c>
      <c r="D15" s="51" t="s">
        <v>47</v>
      </c>
      <c r="E15" s="52" t="str" cm="1">
        <f t="array" ref="E15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5" s="57" t="s">
        <v>125</v>
      </c>
      <c r="G15" s="100" cm="1">
        <f t="array" ref="G15">IFERROR($C15 * INDEX(tab_sazonalidade[[Jan]:[Dez]], MATCH($E15, tab_sazonalidade[Categoria], 0), MONTH($B15)), $C15)</f>
        <v>1096.3920000000001</v>
      </c>
    </row>
    <row r="16" spans="1:10" x14ac:dyDescent="0.35">
      <c r="A16" s="56" t="s">
        <v>20</v>
      </c>
      <c r="B16" s="60">
        <v>45587</v>
      </c>
      <c r="C16" s="101">
        <v>246.39</v>
      </c>
      <c r="D16" s="51" t="s">
        <v>47</v>
      </c>
      <c r="E16" s="52" t="str" cm="1">
        <f t="array" ref="E16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6" s="57" t="s">
        <v>125</v>
      </c>
      <c r="G16" s="101" cm="1">
        <f t="array" ref="G16">IFERROR($C16 * INDEX(tab_sazonalidade[[Jan]:[Dez]], MATCH($E16, tab_sazonalidade[Categoria], 0), MONTH($B16)), $C16)</f>
        <v>258.70949999999999</v>
      </c>
    </row>
    <row r="17" spans="1:7" x14ac:dyDescent="0.35">
      <c r="A17" s="56" t="s">
        <v>21</v>
      </c>
      <c r="B17" s="60">
        <v>45588</v>
      </c>
      <c r="C17" s="99">
        <v>116.27</v>
      </c>
      <c r="D17" s="51" t="s">
        <v>47</v>
      </c>
      <c r="E17" s="52" t="str" cm="1">
        <f t="array" ref="E17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7" s="53" t="s">
        <v>126</v>
      </c>
      <c r="G17" s="99" cm="1">
        <f t="array" ref="G17">IFERROR($C17 * INDEX(tab_sazonalidade[[Jan]:[Dez]], MATCH($E17, tab_sazonalidade[Categoria], 0), MONTH($B17)), $C17)</f>
        <v>127.89700000000001</v>
      </c>
    </row>
    <row r="18" spans="1:7" x14ac:dyDescent="0.35">
      <c r="A18" s="45" t="s">
        <v>22</v>
      </c>
      <c r="B18" s="60">
        <v>45589</v>
      </c>
      <c r="C18" s="99">
        <v>73</v>
      </c>
      <c r="D18" s="51" t="s">
        <v>47</v>
      </c>
      <c r="E18" s="52" t="str" cm="1">
        <f t="array" ref="E18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Segurança</v>
      </c>
      <c r="F18" s="53" t="s">
        <v>126</v>
      </c>
      <c r="G18" s="99" cm="1">
        <f t="array" ref="G18">IFERROR($C18 * INDEX(tab_sazonalidade[[Jan]:[Dez]], MATCH($E18, tab_sazonalidade[Categoria], 0), MONTH($B18)), $C18)</f>
        <v>73</v>
      </c>
    </row>
    <row r="19" spans="1:7" x14ac:dyDescent="0.35">
      <c r="A19" s="45" t="s">
        <v>23</v>
      </c>
      <c r="B19" s="60">
        <v>45590</v>
      </c>
      <c r="C19" s="99">
        <v>700</v>
      </c>
      <c r="D19" s="51" t="s">
        <v>47</v>
      </c>
      <c r="E19" s="52" t="str" cm="1">
        <f t="array" ref="E19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9" s="53" t="s">
        <v>125</v>
      </c>
      <c r="G19" s="99" cm="1">
        <f t="array" ref="G19">IFERROR($C19 * INDEX(tab_sazonalidade[[Jan]:[Dez]], MATCH($E19, tab_sazonalidade[Categoria], 0), MONTH($B19)), $C19)</f>
        <v>630</v>
      </c>
    </row>
    <row r="20" spans="1:7" x14ac:dyDescent="0.35">
      <c r="A20" s="45" t="s">
        <v>24</v>
      </c>
      <c r="B20" s="59">
        <v>45591</v>
      </c>
      <c r="C20" s="98">
        <v>20</v>
      </c>
      <c r="D20" s="51" t="s">
        <v>47</v>
      </c>
      <c r="E20" s="52" t="str" cm="1">
        <f t="array" ref="E20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Transporte</v>
      </c>
      <c r="F20" s="53" t="s">
        <v>124</v>
      </c>
      <c r="G20" s="98" cm="1">
        <f t="array" ref="G20">IFERROR($C20 * INDEX(tab_sazonalidade[[Jan]:[Dez]], MATCH($E20, tab_sazonalidade[Categoria], 0), MONTH($B20)), $C20)</f>
        <v>20</v>
      </c>
    </row>
    <row r="21" spans="1:7" x14ac:dyDescent="0.35">
      <c r="A21" s="56" t="s">
        <v>25</v>
      </c>
      <c r="B21" s="59">
        <v>45592</v>
      </c>
      <c r="C21" s="101">
        <v>449.36</v>
      </c>
      <c r="D21" s="51" t="s">
        <v>47</v>
      </c>
      <c r="E21" s="52" t="str" cm="1">
        <f t="array" ref="E21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Financeiro</v>
      </c>
      <c r="F21" s="57" t="s">
        <v>126</v>
      </c>
      <c r="G21" s="101" cm="1">
        <f t="array" ref="G21">IFERROR($C21 * INDEX(tab_sazonalidade[[Jan]:[Dez]], MATCH($E21, tab_sazonalidade[Categoria], 0), MONTH($B21)), $C21)</f>
        <v>449.36</v>
      </c>
    </row>
    <row r="22" spans="1:7" x14ac:dyDescent="0.35">
      <c r="A22" s="45" t="s">
        <v>34</v>
      </c>
      <c r="B22" s="59">
        <v>45593</v>
      </c>
      <c r="C22" s="98">
        <v>330</v>
      </c>
      <c r="D22" s="51" t="s">
        <v>47</v>
      </c>
      <c r="E22" s="52" t="str" cm="1">
        <f t="array" ref="E22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2" s="53" t="s">
        <v>125</v>
      </c>
      <c r="G22" s="98" cm="1">
        <f t="array" ref="G22">IFERROR($C22 * INDEX(tab_sazonalidade[[Jan]:[Dez]], MATCH($E22, tab_sazonalidade[Categoria], 0), MONTH($B22)), $C22)</f>
        <v>330</v>
      </c>
    </row>
    <row r="23" spans="1:7" x14ac:dyDescent="0.35">
      <c r="A23" s="45" t="s">
        <v>35</v>
      </c>
      <c r="B23" s="59">
        <v>45594</v>
      </c>
      <c r="C23" s="98">
        <v>527</v>
      </c>
      <c r="D23" s="51" t="s">
        <v>47</v>
      </c>
      <c r="E23" s="52" t="str" cm="1">
        <f t="array" ref="E23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3" s="53" t="s">
        <v>126</v>
      </c>
      <c r="G23" s="98" cm="1">
        <f t="array" ref="G23">IFERROR($C23 * INDEX(tab_sazonalidade[[Jan]:[Dez]], MATCH($E23, tab_sazonalidade[Categoria], 0), MONTH($B23)), $C23)</f>
        <v>527</v>
      </c>
    </row>
    <row r="24" spans="1:7" x14ac:dyDescent="0.35">
      <c r="A24" s="45" t="s">
        <v>27</v>
      </c>
      <c r="B24" s="60">
        <v>45595</v>
      </c>
      <c r="C24" s="98">
        <v>56.5</v>
      </c>
      <c r="D24" s="51" t="s">
        <v>47</v>
      </c>
      <c r="E24" s="52" t="str" cm="1">
        <f t="array" ref="E24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4" s="53" t="s">
        <v>126</v>
      </c>
      <c r="G24" s="98" cm="1">
        <f t="array" ref="G24">IFERROR($C24 * INDEX(tab_sazonalidade[[Jan]:[Dez]], MATCH($E24, tab_sazonalidade[Categoria], 0), MONTH($B24)), $C24)</f>
        <v>56.5</v>
      </c>
    </row>
    <row r="25" spans="1:7" x14ac:dyDescent="0.35">
      <c r="A25" s="45" t="s">
        <v>26</v>
      </c>
      <c r="B25" s="60">
        <v>45595</v>
      </c>
      <c r="C25" s="98">
        <v>105.5</v>
      </c>
      <c r="D25" s="51" t="s">
        <v>47</v>
      </c>
      <c r="E25" s="52" t="str" cm="1">
        <f t="array" ref="E25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5" s="53" t="s">
        <v>124</v>
      </c>
      <c r="G25" s="98" cm="1">
        <f t="array" ref="G25">IFERROR($C25 * INDEX(tab_sazonalidade[[Jan]:[Dez]], MATCH($E25, tab_sazonalidade[Categoria], 0), MONTH($B25)), $C25)</f>
        <v>105.5</v>
      </c>
    </row>
    <row r="26" spans="1:7" x14ac:dyDescent="0.35">
      <c r="A26" s="45" t="s">
        <v>31</v>
      </c>
      <c r="B26" s="60">
        <v>45595</v>
      </c>
      <c r="C26" s="98">
        <v>202.65</v>
      </c>
      <c r="D26" s="51" t="s">
        <v>47</v>
      </c>
      <c r="E26" s="52" t="str" cm="1">
        <f t="array" ref="E26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Alimentação</v>
      </c>
      <c r="F26" s="53" t="s">
        <v>126</v>
      </c>
      <c r="G26" s="98" cm="1">
        <f t="array" ref="G26">IFERROR($C26 * INDEX(tab_sazonalidade[[Jan]:[Dez]], MATCH($E26, tab_sazonalidade[Categoria], 0), MONTH($B26)), $C26)</f>
        <v>212.78250000000003</v>
      </c>
    </row>
    <row r="27" spans="1:7" x14ac:dyDescent="0.35">
      <c r="A27" s="45" t="s">
        <v>32</v>
      </c>
      <c r="B27" s="60">
        <v>45595</v>
      </c>
      <c r="C27" s="98">
        <v>340</v>
      </c>
      <c r="D27" s="51" t="s">
        <v>47</v>
      </c>
      <c r="E27" s="52" t="str" cm="1">
        <f t="array" ref="E27">_xlfn.LET(
    _xlpm.palavras, tab_categorias[Palavra-chave],
    _xlpm.categorias, tab_categorias[Categoria],
    _xlpm.texto, LOWER(TRIM(tab_outubro_24[[#This Row],[Item]])),
    _xlpm.posicoes, FIND(_xlpm.palavras, _xlpm.texto),
    _xlpm.valida, ISNUMBER(_xlpm.posicoes),
    _xlpm.índice_categoria, MATCH(TRUE,_xlpm.valida,0),
    INDEX(_xlpm.categorias, _xlpm.índice_categoria)
)</f>
        <v>Limpeza</v>
      </c>
      <c r="F27" s="53" t="s">
        <v>125</v>
      </c>
      <c r="G27" s="98" cm="1">
        <f t="array" ref="G27">IFERROR($C27 * INDEX(tab_sazonalidade[[Jan]:[Dez]], MATCH($E27, tab_sazonalidade[Categoria], 0), MONTH($B27)), $C27)</f>
        <v>340</v>
      </c>
    </row>
  </sheetData>
  <dataValidations disablePrompts="1" count="1">
    <dataValidation type="list" allowBlank="1" showInputMessage="1" showErrorMessage="1" sqref="D3:D27" xr:uid="{A74BE564-D06A-4861-926F-1518D5E5664E}">
      <formula1>"Despesa,Receita"</formula1>
    </dataValidation>
  </dataValidations>
  <pageMargins left="0.51180555555555596" right="0.51180555555555596" top="0.78749999999999998" bottom="0.78749999999999998" header="0.511811023622047" footer="0.511811023622047"/>
  <pageSetup paperSize="9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zoomScaleNormal="100" workbookViewId="0">
      <selection activeCell="J4" sqref="J4"/>
    </sheetView>
  </sheetViews>
  <sheetFormatPr defaultColWidth="8.5546875" defaultRowHeight="14.4" x14ac:dyDescent="0.3"/>
  <cols>
    <col min="1" max="1" width="46.44140625" customWidth="1"/>
    <col min="2" max="2" width="18.109375" style="83" customWidth="1"/>
    <col min="3" max="3" width="11.5546875" style="28" customWidth="1"/>
    <col min="4" max="4" width="11.5546875" customWidth="1"/>
    <col min="5" max="5" width="19.44140625" bestFit="1" customWidth="1"/>
    <col min="6" max="6" width="14.109375" customWidth="1"/>
    <col min="7" max="7" width="17.33203125" style="28" customWidth="1"/>
    <col min="10" max="10" width="11.88671875" customWidth="1"/>
  </cols>
  <sheetData>
    <row r="1" spans="1:10" ht="18" x14ac:dyDescent="0.35">
      <c r="A1" s="1" t="s">
        <v>36</v>
      </c>
      <c r="B1" s="81"/>
      <c r="C1" s="21"/>
      <c r="D1" s="2"/>
      <c r="E1" s="2"/>
      <c r="F1" s="2"/>
      <c r="G1" s="21"/>
    </row>
    <row r="2" spans="1:10" ht="18" x14ac:dyDescent="0.35">
      <c r="A2" s="30" t="s">
        <v>1</v>
      </c>
      <c r="B2" s="82" t="s">
        <v>2</v>
      </c>
      <c r="C2" s="73" t="s">
        <v>3</v>
      </c>
      <c r="D2" s="30" t="s">
        <v>46</v>
      </c>
      <c r="E2" s="30" t="s">
        <v>48</v>
      </c>
      <c r="F2" s="30" t="s">
        <v>65</v>
      </c>
      <c r="G2" s="73" t="s">
        <v>78</v>
      </c>
      <c r="I2" s="3" t="s">
        <v>4</v>
      </c>
      <c r="J2" s="4">
        <v>57634</v>
      </c>
    </row>
    <row r="3" spans="1:10" x14ac:dyDescent="0.3">
      <c r="A3" s="12" t="s">
        <v>5</v>
      </c>
      <c r="B3" s="61">
        <v>45597</v>
      </c>
      <c r="C3" s="74">
        <v>260</v>
      </c>
      <c r="D3" s="14" t="s">
        <v>47</v>
      </c>
      <c r="E3" s="15" t="str" cm="1">
        <f t="array" ref="E3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3" s="29" t="s">
        <v>124</v>
      </c>
      <c r="G3" s="74" cm="1">
        <f t="array" ref="G3">IFERROR($C3 * INDEX(tab_sazonalidade[[Jan]:[Dez]], MATCH($E3, tab_sazonalidade[Categoria], 0), MONTH($B3)), $C3)</f>
        <v>286</v>
      </c>
      <c r="I3" s="3" t="s">
        <v>6</v>
      </c>
      <c r="J3" s="6">
        <f>SUMIF(tab_novembro_24[Tipo],"Despesa",tab_novembro_24[Valor])</f>
        <v>13761.160000000002</v>
      </c>
    </row>
    <row r="4" spans="1:10" x14ac:dyDescent="0.3">
      <c r="A4" s="12" t="s">
        <v>7</v>
      </c>
      <c r="B4" s="61">
        <v>45598</v>
      </c>
      <c r="C4" s="74">
        <v>81.91</v>
      </c>
      <c r="D4" s="14" t="s">
        <v>47</v>
      </c>
      <c r="E4" s="15" t="str" cm="1">
        <f t="array" ref="E4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4" s="29" t="s">
        <v>124</v>
      </c>
      <c r="G4" s="74" cm="1">
        <f t="array" ref="G4">IFERROR($C4 * INDEX(tab_sazonalidade[[Jan]:[Dez]], MATCH($E4, tab_sazonalidade[Categoria], 0), MONTH($B4)), $C4)</f>
        <v>90.100999999999999</v>
      </c>
      <c r="I4" s="7" t="s">
        <v>8</v>
      </c>
      <c r="J4" s="8">
        <f>J2-J3</f>
        <v>43872.84</v>
      </c>
    </row>
    <row r="5" spans="1:10" x14ac:dyDescent="0.3">
      <c r="A5" s="16" t="s">
        <v>9</v>
      </c>
      <c r="B5" s="62">
        <v>45601</v>
      </c>
      <c r="C5" s="77">
        <v>5835.04</v>
      </c>
      <c r="D5" s="14" t="s">
        <v>47</v>
      </c>
      <c r="E5" s="15" t="str" cm="1">
        <f t="array" ref="E5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Recursos Humanos</v>
      </c>
      <c r="F5" s="29" t="s">
        <v>126</v>
      </c>
      <c r="G5" s="77" cm="1">
        <f t="array" ref="G5">IFERROR($C5 * INDEX(tab_sazonalidade[[Jan]:[Dez]], MATCH($E5, tab_sazonalidade[Categoria], 0), MONTH($B5)), $C5)</f>
        <v>5835.04</v>
      </c>
    </row>
    <row r="6" spans="1:10" x14ac:dyDescent="0.3">
      <c r="A6" s="12" t="s">
        <v>10</v>
      </c>
      <c r="B6" s="62">
        <v>45601</v>
      </c>
      <c r="C6" s="77">
        <v>480.1</v>
      </c>
      <c r="D6" s="14" t="s">
        <v>47</v>
      </c>
      <c r="E6" s="15" t="str" cm="1">
        <f t="array" ref="E6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Software</v>
      </c>
      <c r="F6" s="29" t="s">
        <v>124</v>
      </c>
      <c r="G6" s="77" cm="1">
        <f t="array" ref="G6">IFERROR($C6 * INDEX(tab_sazonalidade[[Jan]:[Dez]], MATCH($E6, tab_sazonalidade[Categoria], 0), MONTH($B6)), $C6)</f>
        <v>480.1</v>
      </c>
    </row>
    <row r="7" spans="1:10" x14ac:dyDescent="0.3">
      <c r="A7" s="16" t="s">
        <v>11</v>
      </c>
      <c r="B7" s="62">
        <v>45601</v>
      </c>
      <c r="C7" s="77">
        <v>326.37</v>
      </c>
      <c r="D7" s="14" t="s">
        <v>47</v>
      </c>
      <c r="E7" s="15" t="str" cm="1">
        <f t="array" ref="E7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7" s="29" t="s">
        <v>126</v>
      </c>
      <c r="G7" s="77" cm="1">
        <f t="array" ref="G7">IFERROR($C7 * INDEX(tab_sazonalidade[[Jan]:[Dez]], MATCH($E7, tab_sazonalidade[Categoria], 0), MONTH($B7)), $C7)</f>
        <v>342.68850000000003</v>
      </c>
    </row>
    <row r="8" spans="1:10" x14ac:dyDescent="0.3">
      <c r="A8" s="16" t="s">
        <v>12</v>
      </c>
      <c r="B8" s="62">
        <v>45601</v>
      </c>
      <c r="C8" s="77">
        <v>98.3</v>
      </c>
      <c r="D8" s="14" t="s">
        <v>47</v>
      </c>
      <c r="E8" s="15" t="str" cm="1">
        <f t="array" ref="E8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Saneamento</v>
      </c>
      <c r="F8" s="29" t="s">
        <v>125</v>
      </c>
      <c r="G8" s="77" cm="1">
        <f t="array" ref="G8">IFERROR($C8 * INDEX(tab_sazonalidade[[Jan]:[Dez]], MATCH($E8, tab_sazonalidade[Categoria], 0), MONTH($B8)), $C8)</f>
        <v>98.3</v>
      </c>
    </row>
    <row r="9" spans="1:10" x14ac:dyDescent="0.3">
      <c r="A9" s="16" t="s">
        <v>13</v>
      </c>
      <c r="B9" s="62">
        <v>45603</v>
      </c>
      <c r="C9" s="77">
        <v>505.71</v>
      </c>
      <c r="D9" s="14" t="s">
        <v>47</v>
      </c>
      <c r="E9" s="15" t="str" cm="1">
        <f t="array" ref="E9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Encargos Trabalhistas</v>
      </c>
      <c r="F9" s="29" t="s">
        <v>124</v>
      </c>
      <c r="G9" s="77" cm="1">
        <f t="array" ref="G9">IFERROR($C9 * INDEX(tab_sazonalidade[[Jan]:[Dez]], MATCH($E9, tab_sazonalidade[Categoria], 0), MONTH($B9)), $C9)</f>
        <v>505.71</v>
      </c>
    </row>
    <row r="10" spans="1:10" x14ac:dyDescent="0.3">
      <c r="A10" s="16" t="s">
        <v>14</v>
      </c>
      <c r="B10" s="62">
        <v>45608</v>
      </c>
      <c r="C10" s="77">
        <v>119</v>
      </c>
      <c r="D10" s="14" t="s">
        <v>47</v>
      </c>
      <c r="E10" s="15" t="str" cm="1">
        <f t="array" ref="E10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0" s="29" t="s">
        <v>125</v>
      </c>
      <c r="G10" s="77" cm="1">
        <f t="array" ref="G10">IFERROR($C10 * INDEX(tab_sazonalidade[[Jan]:[Dez]], MATCH($E10, tab_sazonalidade[Categoria], 0), MONTH($B10)), $C10)</f>
        <v>124.95</v>
      </c>
    </row>
    <row r="11" spans="1:10" x14ac:dyDescent="0.3">
      <c r="A11" s="12" t="s">
        <v>15</v>
      </c>
      <c r="B11" s="62">
        <v>45611</v>
      </c>
      <c r="C11" s="77">
        <v>3442</v>
      </c>
      <c r="D11" s="14" t="s">
        <v>4</v>
      </c>
      <c r="E11" s="15" t="str" cm="1">
        <f t="array" ref="E11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Transferência</v>
      </c>
      <c r="F11" s="29" t="s">
        <v>124</v>
      </c>
      <c r="G11" s="77" cm="1">
        <f t="array" ref="G11">IFERROR($C11 * INDEX(tab_sazonalidade[[Jan]:[Dez]], MATCH($E11, tab_sazonalidade[Categoria], 0), MONTH($B11)), $C11)</f>
        <v>3442</v>
      </c>
    </row>
    <row r="12" spans="1:10" x14ac:dyDescent="0.3">
      <c r="A12" s="16" t="s">
        <v>16</v>
      </c>
      <c r="B12" s="62">
        <v>45611</v>
      </c>
      <c r="C12" s="77">
        <v>754</v>
      </c>
      <c r="D12" s="14" t="s">
        <v>47</v>
      </c>
      <c r="E12" s="15" t="str" cm="1">
        <f t="array" ref="E12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Assessoria</v>
      </c>
      <c r="F12" s="29" t="s">
        <v>124</v>
      </c>
      <c r="G12" s="77" cm="1">
        <f t="array" ref="G12">IFERROR($C12 * INDEX(tab_sazonalidade[[Jan]:[Dez]], MATCH($E12, tab_sazonalidade[Categoria], 0), MONTH($B12)), $C12)</f>
        <v>754</v>
      </c>
    </row>
    <row r="13" spans="1:10" x14ac:dyDescent="0.3">
      <c r="A13" s="16" t="s">
        <v>17</v>
      </c>
      <c r="B13" s="62">
        <v>45612</v>
      </c>
      <c r="C13" s="77">
        <v>50</v>
      </c>
      <c r="D13" s="14" t="s">
        <v>47</v>
      </c>
      <c r="E13" s="15" t="str" cm="1">
        <f t="array" ref="E13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3" s="29" t="s">
        <v>125</v>
      </c>
      <c r="G13" s="77" cm="1">
        <f t="array" ref="G13">IFERROR($C13 * INDEX(tab_sazonalidade[[Jan]:[Dez]], MATCH($E13, tab_sazonalidade[Categoria], 0), MONTH($B13)), $C13)</f>
        <v>50</v>
      </c>
    </row>
    <row r="14" spans="1:10" x14ac:dyDescent="0.3">
      <c r="A14" s="16" t="s">
        <v>18</v>
      </c>
      <c r="B14" s="62">
        <v>45616</v>
      </c>
      <c r="C14" s="77">
        <v>1101.01</v>
      </c>
      <c r="D14" s="14" t="s">
        <v>47</v>
      </c>
      <c r="E14" s="15" t="str" cm="1">
        <f t="array" ref="E14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4" s="29" t="s">
        <v>126</v>
      </c>
      <c r="G14" s="77" cm="1">
        <f t="array" ref="G14">IFERROR($C14 * INDEX(tab_sazonalidade[[Jan]:[Dez]], MATCH($E14, tab_sazonalidade[Categoria], 0), MONTH($B14)), $C14)</f>
        <v>1321.212</v>
      </c>
    </row>
    <row r="15" spans="1:10" x14ac:dyDescent="0.3">
      <c r="A15" s="16" t="s">
        <v>19</v>
      </c>
      <c r="B15" s="62">
        <v>45616</v>
      </c>
      <c r="C15" s="77">
        <v>979.46</v>
      </c>
      <c r="D15" s="14" t="s">
        <v>47</v>
      </c>
      <c r="E15" s="15" t="str" cm="1">
        <f t="array" ref="E15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5" s="29" t="s">
        <v>126</v>
      </c>
      <c r="G15" s="77" cm="1">
        <f t="array" ref="G15">IFERROR($C15 * INDEX(tab_sazonalidade[[Jan]:[Dez]], MATCH($E15, tab_sazonalidade[Categoria], 0), MONTH($B15)), $C15)</f>
        <v>1175.3520000000001</v>
      </c>
    </row>
    <row r="16" spans="1:10" x14ac:dyDescent="0.3">
      <c r="A16" s="16" t="s">
        <v>20</v>
      </c>
      <c r="B16" s="62">
        <v>45616</v>
      </c>
      <c r="C16" s="92">
        <v>249.77</v>
      </c>
      <c r="D16" s="14" t="s">
        <v>47</v>
      </c>
      <c r="E16" s="15" t="str" cm="1">
        <f t="array" ref="E16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6" s="29" t="s">
        <v>126</v>
      </c>
      <c r="G16" s="92" cm="1">
        <f t="array" ref="G16">IFERROR($C16 * INDEX(tab_sazonalidade[[Jan]:[Dez]], MATCH($E16, tab_sazonalidade[Categoria], 0), MONTH($B16)), $C16)</f>
        <v>262.25850000000003</v>
      </c>
    </row>
    <row r="17" spans="1:7" x14ac:dyDescent="0.3">
      <c r="A17" s="16" t="s">
        <v>21</v>
      </c>
      <c r="B17" s="62">
        <v>45616</v>
      </c>
      <c r="C17" s="93">
        <v>141.46</v>
      </c>
      <c r="D17" s="14" t="s">
        <v>47</v>
      </c>
      <c r="E17" s="15" t="str" cm="1">
        <f t="array" ref="E17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7" s="29" t="s">
        <v>125</v>
      </c>
      <c r="G17" s="93" cm="1">
        <f t="array" ref="G17">IFERROR($C17 * INDEX(tab_sazonalidade[[Jan]:[Dez]], MATCH($E17, tab_sazonalidade[Categoria], 0), MONTH($B17)), $C17)</f>
        <v>169.75200000000001</v>
      </c>
    </row>
    <row r="18" spans="1:7" x14ac:dyDescent="0.3">
      <c r="A18" s="16" t="s">
        <v>22</v>
      </c>
      <c r="B18" s="62">
        <v>45616</v>
      </c>
      <c r="C18" s="92">
        <v>73</v>
      </c>
      <c r="D18" s="14" t="s">
        <v>47</v>
      </c>
      <c r="E18" s="15" t="str" cm="1">
        <f t="array" ref="E18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Segurança</v>
      </c>
      <c r="F18" s="29" t="s">
        <v>125</v>
      </c>
      <c r="G18" s="92" cm="1">
        <f t="array" ref="G18">IFERROR($C18 * INDEX(tab_sazonalidade[[Jan]:[Dez]], MATCH($E18, tab_sazonalidade[Categoria], 0), MONTH($B18)), $C18)</f>
        <v>73</v>
      </c>
    </row>
    <row r="19" spans="1:7" x14ac:dyDescent="0.3">
      <c r="A19" s="16" t="s">
        <v>23</v>
      </c>
      <c r="B19" s="62">
        <v>45622</v>
      </c>
      <c r="C19" s="92">
        <v>700</v>
      </c>
      <c r="D19" s="14" t="s">
        <v>47</v>
      </c>
      <c r="E19" s="15" t="str" cm="1">
        <f t="array" ref="E19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9" s="29" t="s">
        <v>124</v>
      </c>
      <c r="G19" s="92" cm="1">
        <f t="array" ref="G19">IFERROR($C19 * INDEX(tab_sazonalidade[[Jan]:[Dez]], MATCH($E19, tab_sazonalidade[Categoria], 0), MONTH($B19)), $C19)</f>
        <v>700</v>
      </c>
    </row>
    <row r="20" spans="1:7" x14ac:dyDescent="0.3">
      <c r="A20" s="12" t="s">
        <v>24</v>
      </c>
      <c r="B20" s="61">
        <v>45625</v>
      </c>
      <c r="C20" s="74">
        <v>50</v>
      </c>
      <c r="D20" s="14" t="s">
        <v>47</v>
      </c>
      <c r="E20" s="15" t="str" cm="1">
        <f t="array" ref="E20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Transporte</v>
      </c>
      <c r="F20" s="29" t="s">
        <v>126</v>
      </c>
      <c r="G20" s="74" cm="1">
        <f t="array" ref="G20">IFERROR($C20 * INDEX(tab_sazonalidade[[Jan]:[Dez]], MATCH($E20, tab_sazonalidade[Categoria], 0), MONTH($B20)), $C20)</f>
        <v>50</v>
      </c>
    </row>
    <row r="21" spans="1:7" x14ac:dyDescent="0.3">
      <c r="A21" s="36" t="s">
        <v>25</v>
      </c>
      <c r="B21" s="61">
        <v>45625</v>
      </c>
      <c r="C21" s="94">
        <v>387.6</v>
      </c>
      <c r="D21" s="14" t="s">
        <v>47</v>
      </c>
      <c r="E21" s="15" t="str" cm="1">
        <f t="array" ref="E21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Financeiro</v>
      </c>
      <c r="F21" s="29" t="s">
        <v>126</v>
      </c>
      <c r="G21" s="94" cm="1">
        <f t="array" ref="G21">IFERROR($C21 * INDEX(tab_sazonalidade[[Jan]:[Dez]], MATCH($E21, tab_sazonalidade[Categoria], 0), MONTH($B21)), $C21)</f>
        <v>387.6</v>
      </c>
    </row>
    <row r="22" spans="1:7" x14ac:dyDescent="0.3">
      <c r="A22" s="16" t="s">
        <v>26</v>
      </c>
      <c r="B22" s="61">
        <v>45625</v>
      </c>
      <c r="C22" s="76">
        <v>379.08</v>
      </c>
      <c r="D22" s="14" t="s">
        <v>47</v>
      </c>
      <c r="E22" s="15" t="str" cm="1">
        <f t="array" ref="E22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2" s="29" t="s">
        <v>126</v>
      </c>
      <c r="G22" s="76" cm="1">
        <f t="array" ref="G22">IFERROR($C22 * INDEX(tab_sazonalidade[[Jan]:[Dez]], MATCH($E22, tab_sazonalidade[Categoria], 0), MONTH($B22)), $C22)</f>
        <v>379.08</v>
      </c>
    </row>
    <row r="23" spans="1:7" x14ac:dyDescent="0.3">
      <c r="A23" s="12" t="s">
        <v>27</v>
      </c>
      <c r="B23" s="61">
        <v>45625</v>
      </c>
      <c r="C23" s="76">
        <v>174.45</v>
      </c>
      <c r="D23" s="14" t="s">
        <v>47</v>
      </c>
      <c r="E23" s="15" t="str" cm="1">
        <f t="array" ref="E23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3" s="29" t="s">
        <v>124</v>
      </c>
      <c r="G23" s="76" cm="1">
        <f t="array" ref="G23">IFERROR($C23 * INDEX(tab_sazonalidade[[Jan]:[Dez]], MATCH($E23, tab_sazonalidade[Categoria], 0), MONTH($B23)), $C23)</f>
        <v>174.45</v>
      </c>
    </row>
    <row r="24" spans="1:7" x14ac:dyDescent="0.3">
      <c r="A24" s="16" t="s">
        <v>112</v>
      </c>
      <c r="B24" s="61">
        <v>45625</v>
      </c>
      <c r="C24" s="76">
        <v>103.32</v>
      </c>
      <c r="D24" s="14" t="s">
        <v>47</v>
      </c>
      <c r="E24" s="15" t="str" cm="1">
        <f t="array" ref="E24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Recursos Humanos</v>
      </c>
      <c r="F24" s="29" t="s">
        <v>125</v>
      </c>
      <c r="G24" s="76" cm="1">
        <f t="array" ref="G24">IFERROR($C24 * INDEX(tab_sazonalidade[[Jan]:[Dez]], MATCH($E24, tab_sazonalidade[Categoria], 0), MONTH($B24)), $C24)</f>
        <v>103.32</v>
      </c>
    </row>
    <row r="25" spans="1:7" x14ac:dyDescent="0.3">
      <c r="A25" s="16" t="s">
        <v>37</v>
      </c>
      <c r="B25" s="61">
        <v>45625</v>
      </c>
      <c r="C25" s="76">
        <v>160</v>
      </c>
      <c r="D25" s="14" t="s">
        <v>47</v>
      </c>
      <c r="E25" s="15" t="str" cm="1">
        <f t="array" ref="E25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5" s="29" t="s">
        <v>124</v>
      </c>
      <c r="G25" s="76" cm="1">
        <f t="array" ref="G25">IFERROR($C25 * INDEX(tab_sazonalidade[[Jan]:[Dez]], MATCH($E25, tab_sazonalidade[Categoria], 0), MONTH($B25)), $C25)</f>
        <v>160</v>
      </c>
    </row>
    <row r="26" spans="1:7" x14ac:dyDescent="0.3">
      <c r="A26" s="16" t="s">
        <v>38</v>
      </c>
      <c r="B26" s="61">
        <v>45625</v>
      </c>
      <c r="C26" s="76">
        <v>25</v>
      </c>
      <c r="D26" s="14" t="s">
        <v>47</v>
      </c>
      <c r="E26" s="15" t="str" cm="1">
        <f t="array" ref="E26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6" s="29" t="s">
        <v>126</v>
      </c>
      <c r="G26" s="76" cm="1">
        <f t="array" ref="G26">IFERROR($C26 * INDEX(tab_sazonalidade[[Jan]:[Dez]], MATCH($E26, tab_sazonalidade[Categoria], 0), MONTH($B26)), $C26)</f>
        <v>25</v>
      </c>
    </row>
    <row r="27" spans="1:7" x14ac:dyDescent="0.3">
      <c r="A27" s="16" t="s">
        <v>111</v>
      </c>
      <c r="B27" s="61">
        <v>45625</v>
      </c>
      <c r="C27" s="76">
        <v>135.18</v>
      </c>
      <c r="D27" s="14" t="s">
        <v>47</v>
      </c>
      <c r="E27" s="15" t="str" cm="1">
        <f t="array" ref="E27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7" s="29" t="s">
        <v>124</v>
      </c>
      <c r="G27" s="76" cm="1">
        <f t="array" ref="G27">IFERROR($C27 * INDEX(tab_sazonalidade[[Jan]:[Dez]], MATCH($E27, tab_sazonalidade[Categoria], 0), MONTH($B27)), $C27)</f>
        <v>135.18</v>
      </c>
    </row>
    <row r="28" spans="1:7" x14ac:dyDescent="0.3">
      <c r="A28" s="16" t="s">
        <v>31</v>
      </c>
      <c r="B28" s="61">
        <v>45625</v>
      </c>
      <c r="C28" s="76">
        <v>166.4</v>
      </c>
      <c r="D28" s="14" t="s">
        <v>47</v>
      </c>
      <c r="E28" s="15" t="str" cm="1">
        <f t="array" ref="E28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Alimentação</v>
      </c>
      <c r="F28" s="29" t="s">
        <v>125</v>
      </c>
      <c r="G28" s="76" cm="1">
        <f t="array" ref="G28">IFERROR($C28 * INDEX(tab_sazonalidade[[Jan]:[Dez]], MATCH($E28, tab_sazonalidade[Categoria], 0), MONTH($B28)), $C28)</f>
        <v>174.72000000000003</v>
      </c>
    </row>
    <row r="29" spans="1:7" x14ac:dyDescent="0.3">
      <c r="A29" s="16" t="s">
        <v>32</v>
      </c>
      <c r="B29" s="61">
        <v>45625</v>
      </c>
      <c r="C29" s="76">
        <v>425</v>
      </c>
      <c r="D29" s="14" t="s">
        <v>47</v>
      </c>
      <c r="E29" s="15" t="str" cm="1">
        <f t="array" ref="E29">_xlfn.LET(
    _xlpm.palavras, tab_categorias[Palavra-chave],
    _xlpm.categorias, tab_categorias[Categoria],
    _xlpm.texto, LOWER(TRIM(tab_novembro_24[[#This Row],[Item]])),
    _xlpm.posicoes, FIND(_xlpm.palavras, _xlpm.texto),
    _xlpm.valida, ISNUMBER(_xlpm.posicoes),
    _xlpm.índice_categoria, MATCH(TRUE,_xlpm.valida,0),
    INDEX(_xlpm.categorias, _xlpm.índice_categoria)
)</f>
        <v>Limpeza</v>
      </c>
      <c r="F29" s="29" t="s">
        <v>126</v>
      </c>
      <c r="G29" s="76" cm="1">
        <f t="array" ref="G29">IFERROR($C29 * INDEX(tab_sazonalidade[[Jan]:[Dez]], MATCH($E29, tab_sazonalidade[Categoria], 0), MONTH($B29)), $C29)</f>
        <v>425</v>
      </c>
    </row>
    <row r="34" spans="1:1" x14ac:dyDescent="0.3">
      <c r="A34" s="5"/>
    </row>
  </sheetData>
  <dataValidations count="1">
    <dataValidation type="list" allowBlank="1" showInputMessage="1" showErrorMessage="1" sqref="D3:D29" xr:uid="{72F22F29-99F8-4B75-AE67-DE3A18F81F07}">
      <formula1>"Despesa,Receita"</formula1>
    </dataValidation>
  </dataValidations>
  <pageMargins left="0.51180555555555596" right="0.51180555555555596" top="0.78749999999999998" bottom="0.78749999999999998" header="0.511811023622047" footer="0.511811023622047"/>
  <pageSetup paperSize="9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zoomScaleNormal="100" workbookViewId="0">
      <selection activeCell="J4" sqref="J4"/>
    </sheetView>
  </sheetViews>
  <sheetFormatPr defaultColWidth="8.5546875" defaultRowHeight="14.4" x14ac:dyDescent="0.3"/>
  <cols>
    <col min="1" max="1" width="46.109375" customWidth="1"/>
    <col min="2" max="2" width="18.44140625" style="83" customWidth="1"/>
    <col min="3" max="3" width="13" style="28" customWidth="1"/>
    <col min="4" max="4" width="13" customWidth="1"/>
    <col min="5" max="5" width="19.44140625" bestFit="1" customWidth="1"/>
    <col min="6" max="6" width="13.109375" style="12" customWidth="1"/>
    <col min="7" max="7" width="17.33203125" style="28" customWidth="1"/>
    <col min="10" max="10" width="11.88671875" customWidth="1"/>
  </cols>
  <sheetData>
    <row r="1" spans="1:10" ht="18" x14ac:dyDescent="0.35">
      <c r="A1" s="1" t="s">
        <v>39</v>
      </c>
      <c r="B1" s="81"/>
      <c r="C1" s="21"/>
      <c r="D1" s="2"/>
      <c r="E1" s="2"/>
      <c r="F1" s="31"/>
      <c r="G1" s="21"/>
    </row>
    <row r="2" spans="1:10" ht="18" x14ac:dyDescent="0.35">
      <c r="A2" s="84" t="s">
        <v>1</v>
      </c>
      <c r="B2" s="85" t="s">
        <v>2</v>
      </c>
      <c r="C2" s="91" t="s">
        <v>3</v>
      </c>
      <c r="D2" s="84" t="s">
        <v>46</v>
      </c>
      <c r="E2" s="84" t="s">
        <v>48</v>
      </c>
      <c r="F2" s="90" t="s">
        <v>65</v>
      </c>
      <c r="G2" s="91" t="s">
        <v>78</v>
      </c>
      <c r="I2" s="3" t="s">
        <v>4</v>
      </c>
      <c r="J2" s="4">
        <v>59566</v>
      </c>
    </row>
    <row r="3" spans="1:10" x14ac:dyDescent="0.3">
      <c r="A3" s="86" t="s">
        <v>5</v>
      </c>
      <c r="B3" s="87">
        <v>45627</v>
      </c>
      <c r="C3" s="74">
        <v>260</v>
      </c>
      <c r="D3" s="14" t="s">
        <v>47</v>
      </c>
      <c r="E3" s="15" t="str" cm="1">
        <f t="array" ref="E3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3" s="63" t="s">
        <v>124</v>
      </c>
      <c r="G3" s="74" cm="1">
        <f t="array" ref="G3">IFERROR($C3 * INDEX(tab_sazonalidade[[Jan]:[Dez]], MATCH($E3, tab_sazonalidade[Categoria], 0), MONTH($B3)), $C3)</f>
        <v>312</v>
      </c>
      <c r="I3" s="3" t="s">
        <v>6</v>
      </c>
      <c r="J3" s="6">
        <f>SUMIF(tab_dezembro_24[Tipo],"Despesa",tab_dezembro_24[Valor])</f>
        <v>14655.03</v>
      </c>
    </row>
    <row r="4" spans="1:10" x14ac:dyDescent="0.3">
      <c r="A4" s="86" t="s">
        <v>7</v>
      </c>
      <c r="B4" s="87">
        <v>45628</v>
      </c>
      <c r="C4" s="74">
        <v>78.400000000000006</v>
      </c>
      <c r="D4" s="14" t="s">
        <v>47</v>
      </c>
      <c r="E4" s="15" t="str" cm="1">
        <f t="array" ref="E4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4" s="63" t="s">
        <v>125</v>
      </c>
      <c r="G4" s="74" cm="1">
        <f t="array" ref="G4">IFERROR($C4 * INDEX(tab_sazonalidade[[Jan]:[Dez]], MATCH($E4, tab_sazonalidade[Categoria], 0), MONTH($B4)), $C4)</f>
        <v>94.08</v>
      </c>
      <c r="I4" s="7" t="s">
        <v>8</v>
      </c>
      <c r="J4" s="8">
        <f>J2-J3</f>
        <v>44910.97</v>
      </c>
    </row>
    <row r="5" spans="1:10" x14ac:dyDescent="0.3">
      <c r="A5" s="88" t="s">
        <v>9</v>
      </c>
      <c r="B5" s="89">
        <v>45631</v>
      </c>
      <c r="C5" s="75">
        <v>5836.08</v>
      </c>
      <c r="D5" s="14" t="s">
        <v>47</v>
      </c>
      <c r="E5" s="15" t="str" cm="1">
        <f t="array" ref="E5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Recursos Humanos</v>
      </c>
      <c r="F5" s="63" t="s">
        <v>125</v>
      </c>
      <c r="G5" s="75" cm="1">
        <f t="array" ref="G5">IFERROR($C5 * INDEX(tab_sazonalidade[[Jan]:[Dez]], MATCH($E5, tab_sazonalidade[Categoria], 0), MONTH($B5)), $C5)</f>
        <v>5836.08</v>
      </c>
    </row>
    <row r="6" spans="1:10" x14ac:dyDescent="0.3">
      <c r="A6" s="86" t="s">
        <v>10</v>
      </c>
      <c r="B6" s="89">
        <v>45631</v>
      </c>
      <c r="C6" s="77">
        <v>480.1</v>
      </c>
      <c r="D6" s="14" t="s">
        <v>47</v>
      </c>
      <c r="E6" s="15" t="str" cm="1">
        <f t="array" ref="E6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Software</v>
      </c>
      <c r="F6" s="64" t="s">
        <v>125</v>
      </c>
      <c r="G6" s="77" cm="1">
        <f t="array" ref="G6">IFERROR($C6 * INDEX(tab_sazonalidade[[Jan]:[Dez]], MATCH($E6, tab_sazonalidade[Categoria], 0), MONTH($B6)), $C6)</f>
        <v>480.1</v>
      </c>
    </row>
    <row r="7" spans="1:10" x14ac:dyDescent="0.3">
      <c r="A7" s="88" t="s">
        <v>11</v>
      </c>
      <c r="B7" s="89">
        <v>45631</v>
      </c>
      <c r="C7" s="77">
        <v>226.99</v>
      </c>
      <c r="D7" s="14" t="s">
        <v>47</v>
      </c>
      <c r="E7" s="15" t="str" cm="1">
        <f t="array" ref="E7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7" s="64" t="s">
        <v>126</v>
      </c>
      <c r="G7" s="77" cm="1">
        <f t="array" ref="G7">IFERROR($C7 * INDEX(tab_sazonalidade[[Jan]:[Dez]], MATCH($E7, tab_sazonalidade[Categoria], 0), MONTH($B7)), $C7)</f>
        <v>238.33950000000002</v>
      </c>
    </row>
    <row r="8" spans="1:10" x14ac:dyDescent="0.3">
      <c r="A8" s="88" t="s">
        <v>12</v>
      </c>
      <c r="B8" s="89">
        <v>45631</v>
      </c>
      <c r="C8" s="77">
        <v>98.3</v>
      </c>
      <c r="D8" s="14" t="s">
        <v>47</v>
      </c>
      <c r="E8" s="15" t="str" cm="1">
        <f t="array" ref="E8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Saneamento</v>
      </c>
      <c r="F8" s="64" t="s">
        <v>126</v>
      </c>
      <c r="G8" s="77" cm="1">
        <f t="array" ref="G8">IFERROR($C8 * INDEX(tab_sazonalidade[[Jan]:[Dez]], MATCH($E8, tab_sazonalidade[Categoria], 0), MONTH($B8)), $C8)</f>
        <v>98.3</v>
      </c>
    </row>
    <row r="9" spans="1:10" x14ac:dyDescent="0.3">
      <c r="A9" s="88" t="s">
        <v>13</v>
      </c>
      <c r="B9" s="89">
        <v>45633</v>
      </c>
      <c r="C9" s="77">
        <v>875.28</v>
      </c>
      <c r="D9" s="14" t="s">
        <v>47</v>
      </c>
      <c r="E9" s="15" t="str" cm="1">
        <f t="array" ref="E9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Encargos Trabalhistas</v>
      </c>
      <c r="F9" s="64" t="s">
        <v>126</v>
      </c>
      <c r="G9" s="77" cm="1">
        <f t="array" ref="G9">IFERROR($C9 * INDEX(tab_sazonalidade[[Jan]:[Dez]], MATCH($E9, tab_sazonalidade[Categoria], 0), MONTH($B9)), $C9)</f>
        <v>875.28</v>
      </c>
    </row>
    <row r="10" spans="1:10" x14ac:dyDescent="0.3">
      <c r="A10" s="88" t="s">
        <v>14</v>
      </c>
      <c r="B10" s="89">
        <v>45638</v>
      </c>
      <c r="C10" s="77">
        <v>119</v>
      </c>
      <c r="D10" s="14" t="s">
        <v>47</v>
      </c>
      <c r="E10" s="15" t="str" cm="1">
        <f t="array" ref="E10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0" s="64" t="s">
        <v>124</v>
      </c>
      <c r="G10" s="77" cm="1">
        <f t="array" ref="G10">IFERROR($C10 * INDEX(tab_sazonalidade[[Jan]:[Dez]], MATCH($E10, tab_sazonalidade[Categoria], 0), MONTH($B10)), $C10)</f>
        <v>124.95</v>
      </c>
    </row>
    <row r="11" spans="1:10" x14ac:dyDescent="0.3">
      <c r="A11" s="86" t="s">
        <v>15</v>
      </c>
      <c r="B11" s="89">
        <v>45641</v>
      </c>
      <c r="C11" s="75">
        <v>3442</v>
      </c>
      <c r="D11" s="14" t="s">
        <v>4</v>
      </c>
      <c r="E11" s="15" t="str" cm="1">
        <f t="array" ref="E11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Transferência</v>
      </c>
      <c r="F11" s="63" t="s">
        <v>126</v>
      </c>
      <c r="G11" s="75" cm="1">
        <f t="array" ref="G11">IFERROR($C11 * INDEX(tab_sazonalidade[[Jan]:[Dez]], MATCH($E11, tab_sazonalidade[Categoria], 0), MONTH($B11)), $C11)</f>
        <v>3442</v>
      </c>
    </row>
    <row r="12" spans="1:10" x14ac:dyDescent="0.3">
      <c r="A12" s="88" t="s">
        <v>16</v>
      </c>
      <c r="B12" s="89">
        <v>45641</v>
      </c>
      <c r="C12" s="77">
        <v>1460</v>
      </c>
      <c r="D12" s="14" t="s">
        <v>47</v>
      </c>
      <c r="E12" s="15" t="str" cm="1">
        <f t="array" ref="E12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Assessoria</v>
      </c>
      <c r="F12" s="64" t="s">
        <v>126</v>
      </c>
      <c r="G12" s="77" cm="1">
        <f t="array" ref="G12">IFERROR($C12 * INDEX(tab_sazonalidade[[Jan]:[Dez]], MATCH($E12, tab_sazonalidade[Categoria], 0), MONTH($B12)), $C12)</f>
        <v>1460</v>
      </c>
    </row>
    <row r="13" spans="1:10" x14ac:dyDescent="0.3">
      <c r="A13" s="88" t="s">
        <v>17</v>
      </c>
      <c r="B13" s="89">
        <v>45642</v>
      </c>
      <c r="C13" s="75">
        <v>50</v>
      </c>
      <c r="D13" s="14" t="s">
        <v>47</v>
      </c>
      <c r="E13" s="15" t="str" cm="1">
        <f t="array" ref="E13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3" s="63" t="s">
        <v>126</v>
      </c>
      <c r="G13" s="75" cm="1">
        <f t="array" ref="G13">IFERROR($C13 * INDEX(tab_sazonalidade[[Jan]:[Dez]], MATCH($E13, tab_sazonalidade[Categoria], 0), MONTH($B13)), $C13)</f>
        <v>55.000000000000007</v>
      </c>
    </row>
    <row r="14" spans="1:10" x14ac:dyDescent="0.3">
      <c r="A14" s="88" t="s">
        <v>18</v>
      </c>
      <c r="B14" s="89">
        <v>45646</v>
      </c>
      <c r="C14" s="77">
        <v>1101.01</v>
      </c>
      <c r="D14" s="14" t="s">
        <v>47</v>
      </c>
      <c r="E14" s="15" t="str" cm="1">
        <f t="array" ref="E14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4" s="64" t="s">
        <v>125</v>
      </c>
      <c r="G14" s="77" cm="1">
        <f t="array" ref="G14">IFERROR($C14 * INDEX(tab_sazonalidade[[Jan]:[Dez]], MATCH($E14, tab_sazonalidade[Categoria], 0), MONTH($B14)), $C14)</f>
        <v>1321.212</v>
      </c>
    </row>
    <row r="15" spans="1:10" x14ac:dyDescent="0.3">
      <c r="A15" s="88" t="s">
        <v>19</v>
      </c>
      <c r="B15" s="89">
        <v>45646</v>
      </c>
      <c r="C15" s="77">
        <v>1448.9</v>
      </c>
      <c r="D15" s="14" t="s">
        <v>47</v>
      </c>
      <c r="E15" s="15" t="str" cm="1">
        <f t="array" ref="E15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5" s="64" t="s">
        <v>125</v>
      </c>
      <c r="G15" s="77" cm="1">
        <f t="array" ref="G15">IFERROR($C15 * INDEX(tab_sazonalidade[[Jan]:[Dez]], MATCH($E15, tab_sazonalidade[Categoria], 0), MONTH($B15)), $C15)</f>
        <v>1738.68</v>
      </c>
    </row>
    <row r="16" spans="1:10" x14ac:dyDescent="0.3">
      <c r="A16" s="88" t="s">
        <v>20</v>
      </c>
      <c r="B16" s="89">
        <v>45651</v>
      </c>
      <c r="C16" s="77">
        <v>254.83</v>
      </c>
      <c r="D16" s="14" t="s">
        <v>47</v>
      </c>
      <c r="E16" s="15" t="str" cm="1">
        <f t="array" ref="E16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6" s="64" t="s">
        <v>125</v>
      </c>
      <c r="G16" s="77" cm="1">
        <f t="array" ref="G16">IFERROR($C16 * INDEX(tab_sazonalidade[[Jan]:[Dez]], MATCH($E16, tab_sazonalidade[Categoria], 0), MONTH($B16)), $C16)</f>
        <v>267.57150000000001</v>
      </c>
    </row>
    <row r="17" spans="1:7" x14ac:dyDescent="0.3">
      <c r="A17" s="88" t="s">
        <v>21</v>
      </c>
      <c r="B17" s="89">
        <v>45651</v>
      </c>
      <c r="C17" s="76">
        <v>97.57</v>
      </c>
      <c r="D17" s="14" t="s">
        <v>47</v>
      </c>
      <c r="E17" s="15" t="str" cm="1">
        <f t="array" ref="E17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7" s="64" t="s">
        <v>124</v>
      </c>
      <c r="G17" s="76" cm="1">
        <f t="array" ref="G17">IFERROR($C17 * INDEX(tab_sazonalidade[[Jan]:[Dez]], MATCH($E17, tab_sazonalidade[Categoria], 0), MONTH($B17)), $C17)</f>
        <v>117.08399999999999</v>
      </c>
    </row>
    <row r="18" spans="1:7" x14ac:dyDescent="0.3">
      <c r="A18" s="88" t="s">
        <v>22</v>
      </c>
      <c r="B18" s="89">
        <v>45651</v>
      </c>
      <c r="C18" s="77">
        <v>73</v>
      </c>
      <c r="D18" s="14" t="s">
        <v>47</v>
      </c>
      <c r="E18" s="15" t="str" cm="1">
        <f t="array" ref="E18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Segurança</v>
      </c>
      <c r="F18" s="80" t="s">
        <v>124</v>
      </c>
      <c r="G18" s="77" cm="1">
        <f t="array" ref="G18">IFERROR($C18 * INDEX(tab_sazonalidade[[Jan]:[Dez]], MATCH($E18, tab_sazonalidade[Categoria], 0), MONTH($B18)), $C18)</f>
        <v>73</v>
      </c>
    </row>
    <row r="19" spans="1:7" x14ac:dyDescent="0.3">
      <c r="A19" s="88" t="s">
        <v>23</v>
      </c>
      <c r="B19" s="89">
        <v>45652</v>
      </c>
      <c r="C19" s="77">
        <v>700</v>
      </c>
      <c r="D19" s="14" t="s">
        <v>47</v>
      </c>
      <c r="E19" s="15" t="str" cm="1">
        <f t="array" ref="E19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9" s="64" t="s">
        <v>124</v>
      </c>
      <c r="G19" s="77" cm="1">
        <f t="array" ref="G19">IFERROR($C19 * INDEX(tab_sazonalidade[[Jan]:[Dez]], MATCH($E19, tab_sazonalidade[Categoria], 0), MONTH($B19)), $C19)</f>
        <v>770.00000000000011</v>
      </c>
    </row>
    <row r="20" spans="1:7" x14ac:dyDescent="0.3">
      <c r="A20" s="86" t="s">
        <v>24</v>
      </c>
      <c r="B20" s="87">
        <v>45653</v>
      </c>
      <c r="C20" s="74">
        <v>30</v>
      </c>
      <c r="D20" s="14" t="s">
        <v>47</v>
      </c>
      <c r="E20" s="15" t="str" cm="1">
        <f t="array" ref="E20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Transporte</v>
      </c>
      <c r="F20" s="63" t="s">
        <v>124</v>
      </c>
      <c r="G20" s="74" cm="1">
        <f t="array" ref="G20">IFERROR($C20 * INDEX(tab_sazonalidade[[Jan]:[Dez]], MATCH($E20, tab_sazonalidade[Categoria], 0), MONTH($B20)), $C20)</f>
        <v>30</v>
      </c>
    </row>
    <row r="21" spans="1:7" x14ac:dyDescent="0.3">
      <c r="A21" s="88" t="s">
        <v>25</v>
      </c>
      <c r="B21" s="87">
        <v>45653</v>
      </c>
      <c r="C21" s="76">
        <v>361.95</v>
      </c>
      <c r="D21" s="14" t="s">
        <v>47</v>
      </c>
      <c r="E21" s="15" t="str" cm="1">
        <f t="array" ref="E21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Financeiro</v>
      </c>
      <c r="F21" s="64" t="s">
        <v>125</v>
      </c>
      <c r="G21" s="76" cm="1">
        <f t="array" ref="G21">IFERROR($C21 * INDEX(tab_sazonalidade[[Jan]:[Dez]], MATCH($E21, tab_sazonalidade[Categoria], 0), MONTH($B21)), $C21)</f>
        <v>361.95</v>
      </c>
    </row>
    <row r="22" spans="1:7" x14ac:dyDescent="0.3">
      <c r="A22" s="86" t="s">
        <v>26</v>
      </c>
      <c r="B22" s="87">
        <v>45653</v>
      </c>
      <c r="C22" s="74">
        <v>120.43</v>
      </c>
      <c r="D22" s="14" t="s">
        <v>47</v>
      </c>
      <c r="E22" s="15" t="str" cm="1">
        <f t="array" ref="E22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2" s="63" t="s">
        <v>126</v>
      </c>
      <c r="G22" s="74" cm="1">
        <f t="array" ref="G22">IFERROR($C22 * INDEX(tab_sazonalidade[[Jan]:[Dez]], MATCH($E22, tab_sazonalidade[Categoria], 0), MONTH($B22)), $C22)</f>
        <v>120.43</v>
      </c>
    </row>
    <row r="23" spans="1:7" x14ac:dyDescent="0.3">
      <c r="A23" s="86" t="s">
        <v>27</v>
      </c>
      <c r="B23" s="87">
        <v>45653</v>
      </c>
      <c r="C23" s="74">
        <v>42</v>
      </c>
      <c r="D23" s="14" t="s">
        <v>47</v>
      </c>
      <c r="E23" s="15" t="str" cm="1">
        <f t="array" ref="E23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3" s="67" t="s">
        <v>126</v>
      </c>
      <c r="G23" s="74" cm="1">
        <f t="array" ref="G23">IFERROR($C23 * INDEX(tab_sazonalidade[[Jan]:[Dez]], MATCH($E23, tab_sazonalidade[Categoria], 0), MONTH($B23)), $C23)</f>
        <v>42</v>
      </c>
    </row>
    <row r="24" spans="1:7" x14ac:dyDescent="0.3">
      <c r="A24" s="86" t="s">
        <v>40</v>
      </c>
      <c r="B24" s="87">
        <v>45653</v>
      </c>
      <c r="C24" s="74">
        <v>56</v>
      </c>
      <c r="D24" s="14" t="s">
        <v>47</v>
      </c>
      <c r="E24" s="15" t="str" cm="1">
        <f t="array" ref="E24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4" s="63" t="s">
        <v>125</v>
      </c>
      <c r="G24" s="74" cm="1">
        <f t="array" ref="G24">IFERROR($C24 * INDEX(tab_sazonalidade[[Jan]:[Dez]], MATCH($E24, tab_sazonalidade[Categoria], 0), MONTH($B24)), $C24)</f>
        <v>56</v>
      </c>
    </row>
    <row r="25" spans="1:7" x14ac:dyDescent="0.3">
      <c r="A25" s="86" t="s">
        <v>116</v>
      </c>
      <c r="B25" s="87">
        <v>45653</v>
      </c>
      <c r="C25" s="74">
        <v>226</v>
      </c>
      <c r="D25" s="14" t="s">
        <v>47</v>
      </c>
      <c r="E25" s="15" t="str" cm="1">
        <f t="array" ref="E25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5" s="63" t="s">
        <v>125</v>
      </c>
      <c r="G25" s="74" cm="1">
        <f t="array" ref="G25">IFERROR($C25 * INDEX(tab_sazonalidade[[Jan]:[Dez]], MATCH($E25, tab_sazonalidade[Categoria], 0), MONTH($B25)), $C25)</f>
        <v>226</v>
      </c>
    </row>
    <row r="26" spans="1:7" x14ac:dyDescent="0.3">
      <c r="A26" s="86" t="s">
        <v>41</v>
      </c>
      <c r="B26" s="87">
        <v>45653</v>
      </c>
      <c r="C26" s="74">
        <v>103.9</v>
      </c>
      <c r="D26" s="14" t="s">
        <v>47</v>
      </c>
      <c r="E26" s="15" t="str" cm="1">
        <f t="array" ref="E26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6" s="63" t="s">
        <v>125</v>
      </c>
      <c r="G26" s="74" cm="1">
        <f t="array" ref="G26">IFERROR($C26 * INDEX(tab_sazonalidade[[Jan]:[Dez]], MATCH($E26, tab_sazonalidade[Categoria], 0), MONTH($B26)), $C26)</f>
        <v>103.9</v>
      </c>
    </row>
    <row r="27" spans="1:7" x14ac:dyDescent="0.3">
      <c r="A27" s="86" t="s">
        <v>34</v>
      </c>
      <c r="B27" s="87">
        <v>45653</v>
      </c>
      <c r="C27" s="74">
        <v>50</v>
      </c>
      <c r="D27" s="14" t="s">
        <v>47</v>
      </c>
      <c r="E27" s="15" t="str" cm="1">
        <f t="array" ref="E27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7" s="63" t="s">
        <v>126</v>
      </c>
      <c r="G27" s="74" cm="1">
        <f t="array" ref="G27">IFERROR($C27 * INDEX(tab_sazonalidade[[Jan]:[Dez]], MATCH($E27, tab_sazonalidade[Categoria], 0), MONTH($B27)), $C27)</f>
        <v>50</v>
      </c>
    </row>
    <row r="28" spans="1:7" x14ac:dyDescent="0.3">
      <c r="A28" s="88" t="s">
        <v>31</v>
      </c>
      <c r="B28" s="87">
        <v>45653</v>
      </c>
      <c r="C28" s="74">
        <v>165.29</v>
      </c>
      <c r="D28" s="14" t="s">
        <v>47</v>
      </c>
      <c r="E28" s="15" t="str" cm="1">
        <f t="array" ref="E28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Alimentação</v>
      </c>
      <c r="F28" s="63" t="s">
        <v>125</v>
      </c>
      <c r="G28" s="74" cm="1">
        <f t="array" ref="G28">IFERROR($C28 * INDEX(tab_sazonalidade[[Jan]:[Dez]], MATCH($E28, tab_sazonalidade[Categoria], 0), MONTH($B28)), $C28)</f>
        <v>173.55449999999999</v>
      </c>
    </row>
    <row r="29" spans="1:7" x14ac:dyDescent="0.3">
      <c r="A29" s="88" t="s">
        <v>32</v>
      </c>
      <c r="B29" s="87">
        <v>45653</v>
      </c>
      <c r="C29" s="74">
        <v>340</v>
      </c>
      <c r="D29" s="14" t="s">
        <v>47</v>
      </c>
      <c r="E29" s="15" t="str" cm="1">
        <f t="array" ref="E29">_xlfn.LET(
    _xlpm.palavras, tab_categorias[Palavra-chave],
    _xlpm.categorias, tab_categorias[Categoria],
    _xlpm.texto, LOWER(TRIM(tab_dezembro_24[[#This Row],[Item]])),
    _xlpm.posicoes, FIND(_xlpm.palavras, _xlpm.texto),
    _xlpm.valida, ISNUMBER(_xlpm.posicoes),
    _xlpm.índice_categoria, MATCH(TRUE,_xlpm.valida,0),
    INDEX(_xlpm.categorias, _xlpm.índice_categoria)
)</f>
        <v>Limpeza</v>
      </c>
      <c r="F29" s="63" t="s">
        <v>126</v>
      </c>
      <c r="G29" s="74" cm="1">
        <f t="array" ref="G29">IFERROR($C29 * INDEX(tab_sazonalidade[[Jan]:[Dez]], MATCH($E29, tab_sazonalidade[Categoria], 0), MONTH($B29)), $C29)</f>
        <v>340</v>
      </c>
    </row>
  </sheetData>
  <dataValidations count="1">
    <dataValidation type="list" allowBlank="1" showInputMessage="1" showErrorMessage="1" sqref="D3:D29" xr:uid="{74462DEC-2E11-41EA-BBFB-3DF3536B72BF}">
      <formula1>"Despesa,Receita"</formula1>
    </dataValidation>
  </dataValidations>
  <pageMargins left="0.51180555555555596" right="0.51180555555555596" top="0.78749999999999998" bottom="0.78749999999999998" header="0.511811023622047" footer="0.511811023622047"/>
  <pageSetup paperSize="9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zoomScaleNormal="100" workbookViewId="0">
      <selection activeCell="J3" sqref="J3"/>
    </sheetView>
  </sheetViews>
  <sheetFormatPr defaultColWidth="8.5546875" defaultRowHeight="14.4" x14ac:dyDescent="0.3"/>
  <cols>
    <col min="1" max="1" width="43" customWidth="1"/>
    <col min="2" max="2" width="18.5546875" style="83" customWidth="1"/>
    <col min="3" max="3" width="13.33203125" style="28" customWidth="1"/>
    <col min="4" max="4" width="13.33203125" customWidth="1"/>
    <col min="5" max="5" width="19.44140625" bestFit="1" customWidth="1"/>
    <col min="6" max="6" width="13.33203125" style="12" customWidth="1"/>
    <col min="7" max="7" width="17.33203125" style="28" customWidth="1"/>
    <col min="10" max="10" width="11.88671875" customWidth="1"/>
  </cols>
  <sheetData>
    <row r="1" spans="1:10" ht="18" x14ac:dyDescent="0.35">
      <c r="A1" s="1" t="s">
        <v>42</v>
      </c>
      <c r="B1" s="81"/>
      <c r="C1" s="21"/>
      <c r="D1" s="2"/>
      <c r="E1" s="2"/>
      <c r="F1" s="31"/>
      <c r="G1" s="21"/>
    </row>
    <row r="2" spans="1:10" ht="18" x14ac:dyDescent="0.35">
      <c r="A2" s="30" t="s">
        <v>1</v>
      </c>
      <c r="B2" s="82" t="s">
        <v>2</v>
      </c>
      <c r="C2" s="73" t="s">
        <v>3</v>
      </c>
      <c r="D2" s="30" t="s">
        <v>46</v>
      </c>
      <c r="E2" s="30" t="s">
        <v>48</v>
      </c>
      <c r="F2" s="32" t="s">
        <v>65</v>
      </c>
      <c r="G2" s="73" t="s">
        <v>78</v>
      </c>
      <c r="I2" s="3" t="s">
        <v>4</v>
      </c>
      <c r="J2" s="4">
        <v>55351</v>
      </c>
    </row>
    <row r="3" spans="1:10" x14ac:dyDescent="0.3">
      <c r="A3" s="12" t="s">
        <v>5</v>
      </c>
      <c r="B3" s="61">
        <v>45658</v>
      </c>
      <c r="C3" s="74">
        <v>260</v>
      </c>
      <c r="D3" s="14" t="s">
        <v>47</v>
      </c>
      <c r="E3" s="15" t="str" cm="1">
        <f t="array" ref="E3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3" s="63" t="s">
        <v>126</v>
      </c>
      <c r="G3" s="74" cm="1">
        <f t="array" ref="G3">IFERROR($C3 * INDEX(tab_sazonalidade[[Jan]:[Dez]], MATCH($E3, tab_sazonalidade[Categoria], 0), MONTH($B3)), $C3)</f>
        <v>312</v>
      </c>
      <c r="I3" s="3" t="s">
        <v>6</v>
      </c>
      <c r="J3" s="6">
        <f>SUMIF(tab_janeiro_25[Tipo],"Despesa",tab_janeiro_25[Valor])</f>
        <v>13577.810000000003</v>
      </c>
    </row>
    <row r="4" spans="1:10" x14ac:dyDescent="0.3">
      <c r="A4" s="12" t="s">
        <v>7</v>
      </c>
      <c r="B4" s="61">
        <v>45659</v>
      </c>
      <c r="C4" s="74">
        <v>79.62</v>
      </c>
      <c r="D4" s="14" t="s">
        <v>47</v>
      </c>
      <c r="E4" s="15" t="str" cm="1">
        <f t="array" ref="E4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4" s="63" t="s">
        <v>124</v>
      </c>
      <c r="G4" s="74" cm="1">
        <f t="array" ref="G4">IFERROR($C4 * INDEX(tab_sazonalidade[[Jan]:[Dez]], MATCH($E4, tab_sazonalidade[Categoria], 0), MONTH($B4)), $C4)</f>
        <v>95.543999999999997</v>
      </c>
      <c r="I4" s="7" t="s">
        <v>8</v>
      </c>
      <c r="J4" s="8">
        <f>J2-J3</f>
        <v>41773.189999999995</v>
      </c>
    </row>
    <row r="5" spans="1:10" x14ac:dyDescent="0.3">
      <c r="A5" s="12" t="s">
        <v>9</v>
      </c>
      <c r="B5" s="61">
        <v>45662</v>
      </c>
      <c r="C5" s="75">
        <v>5836.08</v>
      </c>
      <c r="D5" s="14" t="s">
        <v>47</v>
      </c>
      <c r="E5" s="15" t="str" cm="1">
        <f t="array" ref="E5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Recursos Humanos</v>
      </c>
      <c r="F5" s="63" t="s">
        <v>126</v>
      </c>
      <c r="G5" s="75" cm="1">
        <f t="array" ref="G5">IFERROR($C5 * INDEX(tab_sazonalidade[[Jan]:[Dez]], MATCH($E5, tab_sazonalidade[Categoria], 0), MONTH($B5)), $C5)</f>
        <v>5836.08</v>
      </c>
    </row>
    <row r="6" spans="1:10" x14ac:dyDescent="0.3">
      <c r="A6" s="12" t="s">
        <v>10</v>
      </c>
      <c r="B6" s="61">
        <v>45662</v>
      </c>
      <c r="C6" s="75">
        <v>480.1</v>
      </c>
      <c r="D6" s="14" t="s">
        <v>47</v>
      </c>
      <c r="E6" s="15" t="str" cm="1">
        <f t="array" ref="E6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Software</v>
      </c>
      <c r="F6" s="63" t="s">
        <v>126</v>
      </c>
      <c r="G6" s="75" cm="1">
        <f t="array" ref="G6">IFERROR($C6 * INDEX(tab_sazonalidade[[Jan]:[Dez]], MATCH($E6, tab_sazonalidade[Categoria], 0), MONTH($B6)), $C6)</f>
        <v>480.1</v>
      </c>
    </row>
    <row r="7" spans="1:10" x14ac:dyDescent="0.3">
      <c r="A7" s="12" t="s">
        <v>11</v>
      </c>
      <c r="B7" s="61">
        <v>45662</v>
      </c>
      <c r="C7" s="75">
        <v>290.97000000000003</v>
      </c>
      <c r="D7" s="14" t="s">
        <v>47</v>
      </c>
      <c r="E7" s="15" t="str" cm="1">
        <f t="array" ref="E7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7" s="63" t="s">
        <v>124</v>
      </c>
      <c r="G7" s="75" cm="1">
        <f t="array" ref="G7">IFERROR($C7 * INDEX(tab_sazonalidade[[Jan]:[Dez]], MATCH($E7, tab_sazonalidade[Categoria], 0), MONTH($B7)), $C7)</f>
        <v>305.51850000000002</v>
      </c>
    </row>
    <row r="8" spans="1:10" x14ac:dyDescent="0.3">
      <c r="A8" s="12" t="s">
        <v>12</v>
      </c>
      <c r="B8" s="61">
        <v>45662</v>
      </c>
      <c r="C8" s="75">
        <v>98.1</v>
      </c>
      <c r="D8" s="14" t="s">
        <v>47</v>
      </c>
      <c r="E8" s="15" t="str" cm="1">
        <f t="array" ref="E8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Saneamento</v>
      </c>
      <c r="F8" s="63" t="s">
        <v>125</v>
      </c>
      <c r="G8" s="75" cm="1">
        <f t="array" ref="G8">IFERROR($C8 * INDEX(tab_sazonalidade[[Jan]:[Dez]], MATCH($E8, tab_sazonalidade[Categoria], 0), MONTH($B8)), $C8)</f>
        <v>98.1</v>
      </c>
    </row>
    <row r="9" spans="1:10" x14ac:dyDescent="0.3">
      <c r="A9" s="39" t="s">
        <v>17</v>
      </c>
      <c r="B9" s="62">
        <v>45667</v>
      </c>
      <c r="C9" s="77">
        <v>400</v>
      </c>
      <c r="D9" s="14" t="s">
        <v>47</v>
      </c>
      <c r="E9" s="15" t="str" cm="1">
        <f t="array" ref="E9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9" s="64" t="s">
        <v>124</v>
      </c>
      <c r="G9" s="77" cm="1">
        <f t="array" ref="G9">IFERROR($C9 * INDEX(tab_sazonalidade[[Jan]:[Dez]], MATCH($E9, tab_sazonalidade[Categoria], 0), MONTH($B9)), $C9)</f>
        <v>440.00000000000006</v>
      </c>
    </row>
    <row r="10" spans="1:10" x14ac:dyDescent="0.3">
      <c r="A10" s="16" t="s">
        <v>14</v>
      </c>
      <c r="B10" s="62">
        <v>45669</v>
      </c>
      <c r="C10" s="77">
        <v>119</v>
      </c>
      <c r="D10" s="14" t="s">
        <v>47</v>
      </c>
      <c r="E10" s="15" t="str" cm="1">
        <f t="array" ref="E10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0" s="64" t="s">
        <v>126</v>
      </c>
      <c r="G10" s="77" cm="1">
        <f t="array" ref="G10">IFERROR($C10 * INDEX(tab_sazonalidade[[Jan]:[Dez]], MATCH($E10, tab_sazonalidade[Categoria], 0), MONTH($B10)), $C10)</f>
        <v>124.95</v>
      </c>
    </row>
    <row r="11" spans="1:10" x14ac:dyDescent="0.3">
      <c r="A11" s="12" t="s">
        <v>15</v>
      </c>
      <c r="B11" s="62">
        <v>45672</v>
      </c>
      <c r="C11" s="77">
        <v>3442</v>
      </c>
      <c r="D11" s="14" t="s">
        <v>4</v>
      </c>
      <c r="E11" s="15" t="str" cm="1">
        <f t="array" ref="E11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Transferência</v>
      </c>
      <c r="F11" s="64" t="s">
        <v>126</v>
      </c>
      <c r="G11" s="77" cm="1">
        <f t="array" ref="G11">IFERROR($C11 * INDEX(tab_sazonalidade[[Jan]:[Dez]], MATCH($E11, tab_sazonalidade[Categoria], 0), MONTH($B11)), $C11)</f>
        <v>3442</v>
      </c>
    </row>
    <row r="12" spans="1:10" x14ac:dyDescent="0.3">
      <c r="A12" s="16" t="s">
        <v>16</v>
      </c>
      <c r="B12" s="62">
        <v>45672</v>
      </c>
      <c r="C12" s="77">
        <v>754</v>
      </c>
      <c r="D12" s="14" t="s">
        <v>47</v>
      </c>
      <c r="E12" s="15" t="str" cm="1">
        <f t="array" ref="E12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Assessoria</v>
      </c>
      <c r="F12" s="64" t="s">
        <v>124</v>
      </c>
      <c r="G12" s="77" cm="1">
        <f t="array" ref="G12">IFERROR($C12 * INDEX(tab_sazonalidade[[Jan]:[Dez]], MATCH($E12, tab_sazonalidade[Categoria], 0), MONTH($B12)), $C12)</f>
        <v>754</v>
      </c>
    </row>
    <row r="13" spans="1:10" x14ac:dyDescent="0.3">
      <c r="A13" s="16" t="s">
        <v>13</v>
      </c>
      <c r="B13" s="62">
        <v>45677</v>
      </c>
      <c r="C13" s="77">
        <v>575.19000000000005</v>
      </c>
      <c r="D13" s="14" t="s">
        <v>47</v>
      </c>
      <c r="E13" s="15" t="str" cm="1">
        <f t="array" ref="E13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Encargos Trabalhistas</v>
      </c>
      <c r="F13" s="64" t="s">
        <v>124</v>
      </c>
      <c r="G13" s="77" cm="1">
        <f t="array" ref="G13">IFERROR($C13 * INDEX(tab_sazonalidade[[Jan]:[Dez]], MATCH($E13, tab_sazonalidade[Categoria], 0), MONTH($B13)), $C13)</f>
        <v>575.19000000000005</v>
      </c>
    </row>
    <row r="14" spans="1:10" x14ac:dyDescent="0.3">
      <c r="A14" s="16" t="s">
        <v>18</v>
      </c>
      <c r="B14" s="62">
        <v>45677</v>
      </c>
      <c r="C14" s="77">
        <v>1101.01</v>
      </c>
      <c r="D14" s="14" t="s">
        <v>47</v>
      </c>
      <c r="E14" s="15" t="str" cm="1">
        <f t="array" ref="E14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4" s="64" t="s">
        <v>125</v>
      </c>
      <c r="G14" s="77" cm="1">
        <f t="array" ref="G14">IFERROR($C14 * INDEX(tab_sazonalidade[[Jan]:[Dez]], MATCH($E14, tab_sazonalidade[Categoria], 0), MONTH($B14)), $C14)</f>
        <v>1101.01</v>
      </c>
    </row>
    <row r="15" spans="1:10" x14ac:dyDescent="0.3">
      <c r="A15" s="16" t="s">
        <v>19</v>
      </c>
      <c r="B15" s="62">
        <v>45677</v>
      </c>
      <c r="C15" s="75">
        <v>973.21</v>
      </c>
      <c r="D15" s="14" t="s">
        <v>47</v>
      </c>
      <c r="E15" s="15" t="str" cm="1">
        <f t="array" ref="E15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5" s="63" t="s">
        <v>126</v>
      </c>
      <c r="G15" s="75" cm="1">
        <f t="array" ref="G15">IFERROR($C15 * INDEX(tab_sazonalidade[[Jan]:[Dez]], MATCH($E15, tab_sazonalidade[Categoria], 0), MONTH($B15)), $C15)</f>
        <v>973.21</v>
      </c>
    </row>
    <row r="16" spans="1:10" x14ac:dyDescent="0.3">
      <c r="A16" s="16" t="s">
        <v>20</v>
      </c>
      <c r="B16" s="62">
        <v>45682</v>
      </c>
      <c r="C16" s="77">
        <v>257.77</v>
      </c>
      <c r="D16" s="14" t="s">
        <v>47</v>
      </c>
      <c r="E16" s="15" t="str" cm="1">
        <f t="array" ref="E16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6" s="64" t="s">
        <v>126</v>
      </c>
      <c r="G16" s="77" cm="1">
        <f t="array" ref="G16">IFERROR($C16 * INDEX(tab_sazonalidade[[Jan]:[Dez]], MATCH($E16, tab_sazonalidade[Categoria], 0), MONTH($B16)), $C16)</f>
        <v>270.6585</v>
      </c>
    </row>
    <row r="17" spans="1:7" x14ac:dyDescent="0.3">
      <c r="A17" s="16" t="s">
        <v>21</v>
      </c>
      <c r="B17" s="62">
        <v>45682</v>
      </c>
      <c r="C17" s="77">
        <v>111.43</v>
      </c>
      <c r="D17" s="14" t="s">
        <v>47</v>
      </c>
      <c r="E17" s="15" t="str" cm="1">
        <f t="array" ref="E17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7" s="64" t="s">
        <v>125</v>
      </c>
      <c r="G17" s="77" cm="1">
        <f t="array" ref="G17">IFERROR($C17 * INDEX(tab_sazonalidade[[Jan]:[Dez]], MATCH($E17, tab_sazonalidade[Categoria], 0), MONTH($B17)), $C17)</f>
        <v>111.43</v>
      </c>
    </row>
    <row r="18" spans="1:7" x14ac:dyDescent="0.3">
      <c r="A18" s="16" t="s">
        <v>22</v>
      </c>
      <c r="B18" s="62">
        <v>45682</v>
      </c>
      <c r="C18" s="77">
        <v>76</v>
      </c>
      <c r="D18" s="14" t="s">
        <v>47</v>
      </c>
      <c r="E18" s="15" t="str" cm="1">
        <f t="array" ref="E18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Segurança</v>
      </c>
      <c r="F18" s="80" t="s">
        <v>124</v>
      </c>
      <c r="G18" s="77" cm="1">
        <f t="array" ref="G18">IFERROR($C18 * INDEX(tab_sazonalidade[[Jan]:[Dez]], MATCH($E18, tab_sazonalidade[Categoria], 0), MONTH($B18)), $C18)</f>
        <v>76</v>
      </c>
    </row>
    <row r="19" spans="1:7" x14ac:dyDescent="0.3">
      <c r="A19" s="16" t="s">
        <v>23</v>
      </c>
      <c r="B19" s="62">
        <v>45683</v>
      </c>
      <c r="C19" s="77">
        <v>700</v>
      </c>
      <c r="D19" s="14" t="s">
        <v>47</v>
      </c>
      <c r="E19" s="15" t="str" cm="1">
        <f t="array" ref="E19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9" s="80" t="s">
        <v>125</v>
      </c>
      <c r="G19" s="77" cm="1">
        <f t="array" ref="G19">IFERROR($C19 * INDEX(tab_sazonalidade[[Jan]:[Dez]], MATCH($E19, tab_sazonalidade[Categoria], 0), MONTH($B19)), $C19)</f>
        <v>770.00000000000011</v>
      </c>
    </row>
    <row r="20" spans="1:7" x14ac:dyDescent="0.3">
      <c r="A20" s="12" t="s">
        <v>24</v>
      </c>
      <c r="B20" s="61">
        <v>45684</v>
      </c>
      <c r="C20" s="74">
        <v>30</v>
      </c>
      <c r="D20" s="14" t="s">
        <v>47</v>
      </c>
      <c r="E20" s="15" t="str" cm="1">
        <f t="array" ref="E20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Transporte</v>
      </c>
      <c r="F20" s="63" t="s">
        <v>126</v>
      </c>
      <c r="G20" s="74" cm="1">
        <f t="array" ref="G20">IFERROR($C20 * INDEX(tab_sazonalidade[[Jan]:[Dez]], MATCH($E20, tab_sazonalidade[Categoria], 0), MONTH($B20)), $C20)</f>
        <v>30</v>
      </c>
    </row>
    <row r="21" spans="1:7" x14ac:dyDescent="0.3">
      <c r="A21" s="16" t="s">
        <v>25</v>
      </c>
      <c r="B21" s="61">
        <v>45684</v>
      </c>
      <c r="C21" s="76">
        <v>246.07</v>
      </c>
      <c r="D21" s="14" t="s">
        <v>47</v>
      </c>
      <c r="E21" s="15" t="str" cm="1">
        <f t="array" ref="E21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Financeiro</v>
      </c>
      <c r="F21" s="64" t="s">
        <v>126</v>
      </c>
      <c r="G21" s="76" cm="1">
        <f t="array" ref="G21">IFERROR($C21 * INDEX(tab_sazonalidade[[Jan]:[Dez]], MATCH($E21, tab_sazonalidade[Categoria], 0), MONTH($B21)), $C21)</f>
        <v>246.07</v>
      </c>
    </row>
    <row r="22" spans="1:7" x14ac:dyDescent="0.3">
      <c r="A22" s="12" t="s">
        <v>26</v>
      </c>
      <c r="B22" s="61">
        <v>45684</v>
      </c>
      <c r="C22" s="74">
        <v>348</v>
      </c>
      <c r="D22" s="14" t="s">
        <v>47</v>
      </c>
      <c r="E22" s="15" t="str" cm="1">
        <f t="array" ref="E22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2" s="63" t="s">
        <v>126</v>
      </c>
      <c r="G22" s="74" cm="1">
        <f t="array" ref="G22">IFERROR($C22 * INDEX(tab_sazonalidade[[Jan]:[Dez]], MATCH($E22, tab_sazonalidade[Categoria], 0), MONTH($B22)), $C22)</f>
        <v>348</v>
      </c>
    </row>
    <row r="23" spans="1:7" x14ac:dyDescent="0.3">
      <c r="A23" s="12" t="s">
        <v>27</v>
      </c>
      <c r="B23" s="61">
        <v>45684</v>
      </c>
      <c r="C23" s="74">
        <v>110.06</v>
      </c>
      <c r="D23" s="14" t="s">
        <v>47</v>
      </c>
      <c r="E23" s="15" t="str" cm="1">
        <f t="array" ref="E23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3" s="63" t="s">
        <v>125</v>
      </c>
      <c r="G23" s="74" cm="1">
        <f t="array" ref="G23">IFERROR($C23 * INDEX(tab_sazonalidade[[Jan]:[Dez]], MATCH($E23, tab_sazonalidade[Categoria], 0), MONTH($B23)), $C23)</f>
        <v>110.06</v>
      </c>
    </row>
    <row r="24" spans="1:7" x14ac:dyDescent="0.3">
      <c r="A24" s="12" t="s">
        <v>34</v>
      </c>
      <c r="B24" s="61">
        <v>45684</v>
      </c>
      <c r="C24" s="74">
        <v>90</v>
      </c>
      <c r="D24" s="14" t="s">
        <v>47</v>
      </c>
      <c r="E24" s="15" t="str" cm="1">
        <f t="array" ref="E24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4" s="63" t="s">
        <v>126</v>
      </c>
      <c r="G24" s="74" cm="1">
        <f t="array" ref="G24">IFERROR($C24 * INDEX(tab_sazonalidade[[Jan]:[Dez]], MATCH($E24, tab_sazonalidade[Categoria], 0), MONTH($B24)), $C24)</f>
        <v>90</v>
      </c>
    </row>
    <row r="25" spans="1:7" x14ac:dyDescent="0.3">
      <c r="A25" s="16" t="s">
        <v>31</v>
      </c>
      <c r="B25" s="61">
        <v>45685</v>
      </c>
      <c r="C25" s="74">
        <v>216.2</v>
      </c>
      <c r="D25" s="14" t="s">
        <v>47</v>
      </c>
      <c r="E25" s="15" t="str" cm="1">
        <f t="array" ref="E25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Alimentação</v>
      </c>
      <c r="F25" s="63" t="s">
        <v>125</v>
      </c>
      <c r="G25" s="74" cm="1">
        <f t="array" ref="G25">IFERROR($C25 * INDEX(tab_sazonalidade[[Jan]:[Dez]], MATCH($E25, tab_sazonalidade[Categoria], 0), MONTH($B25)), $C25)</f>
        <v>227.01</v>
      </c>
    </row>
    <row r="26" spans="1:7" x14ac:dyDescent="0.3">
      <c r="A26" s="16" t="s">
        <v>32</v>
      </c>
      <c r="B26" s="61">
        <v>45686</v>
      </c>
      <c r="C26" s="74">
        <v>425</v>
      </c>
      <c r="D26" s="14" t="s">
        <v>47</v>
      </c>
      <c r="E26" s="15" t="str" cm="1">
        <f t="array" ref="E26">_xlfn.LET(
    _xlpm.palavras, tab_categorias[Palavra-chave],
    _xlpm.categorias, tab_categorias[Categoria],
    _xlpm.texto, LOWER(TRIM(tab_janeiro_25[[#This Row],[Item]])),
    _xlpm.posicoes, FIND(_xlpm.palavras, _xlpm.texto),
    _xlpm.valida, ISNUMBER(_xlpm.posicoes),
    _xlpm.índice_categoria, MATCH(TRUE,_xlpm.valida,0),
    INDEX(_xlpm.categorias, _xlpm.índice_categoria)
)</f>
        <v>Limpeza</v>
      </c>
      <c r="F26" s="63" t="s">
        <v>125</v>
      </c>
      <c r="G26" s="74" cm="1">
        <f t="array" ref="G26">IFERROR($C26 * INDEX(tab_sazonalidade[[Jan]:[Dez]], MATCH($E26, tab_sazonalidade[Categoria], 0), MONTH($B26)), $C26)</f>
        <v>425</v>
      </c>
    </row>
  </sheetData>
  <dataValidations disablePrompts="1" count="1">
    <dataValidation type="list" allowBlank="1" showInputMessage="1" showErrorMessage="1" sqref="D3:D26" xr:uid="{033D59CE-4629-46F9-9FA8-688E42CACF48}">
      <formula1>"Despesa,Receita"</formula1>
    </dataValidation>
  </dataValidations>
  <pageMargins left="0.51180555555555596" right="0.51180555555555596" top="0.78749999999999998" bottom="0.78749999999999998" header="0.511811023622047" footer="0.511811023622047"/>
  <pageSetup paperSize="9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zoomScaleNormal="100" workbookViewId="0">
      <selection activeCell="J4" sqref="J4"/>
    </sheetView>
  </sheetViews>
  <sheetFormatPr defaultColWidth="8.5546875" defaultRowHeight="14.4" x14ac:dyDescent="0.3"/>
  <cols>
    <col min="1" max="1" width="45.44140625" customWidth="1"/>
    <col min="2" max="2" width="16.33203125" style="83" customWidth="1"/>
    <col min="3" max="3" width="13.33203125" style="28" customWidth="1"/>
    <col min="4" max="4" width="13.33203125" customWidth="1"/>
    <col min="5" max="5" width="19.44140625" style="12" bestFit="1" customWidth="1"/>
    <col min="6" max="6" width="13.33203125" style="11" customWidth="1"/>
    <col min="7" max="7" width="17.33203125" style="28" customWidth="1"/>
    <col min="10" max="10" width="11.88671875" customWidth="1"/>
  </cols>
  <sheetData>
    <row r="1" spans="1:10" ht="18" x14ac:dyDescent="0.35">
      <c r="A1" s="1" t="s">
        <v>43</v>
      </c>
    </row>
    <row r="2" spans="1:10" ht="18" x14ac:dyDescent="0.35">
      <c r="A2" s="30" t="s">
        <v>1</v>
      </c>
      <c r="B2" s="82" t="s">
        <v>2</v>
      </c>
      <c r="C2" s="73" t="s">
        <v>3</v>
      </c>
      <c r="D2" s="30" t="s">
        <v>46</v>
      </c>
      <c r="E2" s="32" t="s">
        <v>48</v>
      </c>
      <c r="F2" s="33" t="s">
        <v>65</v>
      </c>
      <c r="G2" s="73" t="s">
        <v>78</v>
      </c>
      <c r="I2" s="3" t="s">
        <v>4</v>
      </c>
      <c r="J2" s="4">
        <v>54901</v>
      </c>
    </row>
    <row r="3" spans="1:10" x14ac:dyDescent="0.3">
      <c r="A3" s="12" t="s">
        <v>5</v>
      </c>
      <c r="B3" s="61">
        <v>45689</v>
      </c>
      <c r="C3" s="74">
        <v>260</v>
      </c>
      <c r="D3" s="14" t="s">
        <v>47</v>
      </c>
      <c r="E3" s="63" t="str" cm="1">
        <f t="array" ref="E3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3" s="34" t="str">
        <f t="shared" ref="F3:F29" ca="1" si="0">CHOOSE(RANDBETWEEN(1,3), "Débito auto", "PIX", "Boleto")</f>
        <v>PIX</v>
      </c>
      <c r="G3" s="74" cm="1">
        <f t="array" ref="G3">IFERROR($C3 * INDEX(tab_sazonalidade[[Jan]:[Dez]], MATCH($E3, tab_sazonalidade[Categoria], 0), MONTH($B3)), $C3)</f>
        <v>312</v>
      </c>
      <c r="I3" s="3" t="s">
        <v>6</v>
      </c>
      <c r="J3" s="6">
        <f>SUMIF(tab_fevereiro_25[Tipo],"Despesa",tab_fevereiro_25[Valor])</f>
        <v>14508.86</v>
      </c>
    </row>
    <row r="4" spans="1:10" x14ac:dyDescent="0.3">
      <c r="A4" s="12" t="s">
        <v>44</v>
      </c>
      <c r="B4" s="61">
        <v>45690</v>
      </c>
      <c r="C4" s="74">
        <v>79.12</v>
      </c>
      <c r="D4" s="14" t="s">
        <v>47</v>
      </c>
      <c r="E4" s="63" t="str" cm="1">
        <f t="array" ref="E4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Energia</v>
      </c>
      <c r="F4" s="34" t="str">
        <f t="shared" ca="1" si="0"/>
        <v>Boleto</v>
      </c>
      <c r="G4" s="74" cm="1">
        <f t="array" ref="G4">IFERROR($C4 * INDEX(tab_sazonalidade[[Jan]:[Dez]], MATCH($E4, tab_sazonalidade[Categoria], 0), MONTH($B4)), $C4)</f>
        <v>94.944000000000003</v>
      </c>
      <c r="I4" s="7" t="s">
        <v>8</v>
      </c>
      <c r="J4" s="8">
        <f>J2-J3</f>
        <v>40392.14</v>
      </c>
    </row>
    <row r="5" spans="1:10" x14ac:dyDescent="0.3">
      <c r="A5" s="12" t="s">
        <v>9</v>
      </c>
      <c r="B5" s="61">
        <v>45693</v>
      </c>
      <c r="C5" s="75">
        <v>5845.4</v>
      </c>
      <c r="D5" s="14" t="s">
        <v>47</v>
      </c>
      <c r="E5" s="63" t="str" cm="1">
        <f t="array" ref="E5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Recursos Humanos</v>
      </c>
      <c r="F5" s="34" t="str">
        <f t="shared" ca="1" si="0"/>
        <v>Débito auto</v>
      </c>
      <c r="G5" s="75" cm="1">
        <f t="array" ref="G5">IFERROR($C5 * INDEX(tab_sazonalidade[[Jan]:[Dez]], MATCH($E5, tab_sazonalidade[Categoria], 0), MONTH($B5)), $C5)</f>
        <v>5845.4</v>
      </c>
    </row>
    <row r="6" spans="1:10" x14ac:dyDescent="0.3">
      <c r="A6" s="12" t="s">
        <v>10</v>
      </c>
      <c r="B6" s="61">
        <v>45693</v>
      </c>
      <c r="C6" s="75">
        <v>480.1</v>
      </c>
      <c r="D6" s="14" t="s">
        <v>47</v>
      </c>
      <c r="E6" s="63" t="str" cm="1">
        <f t="array" ref="E6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Software</v>
      </c>
      <c r="F6" s="34" t="str">
        <f t="shared" ca="1" si="0"/>
        <v>Boleto</v>
      </c>
      <c r="G6" s="75" cm="1">
        <f t="array" ref="G6">IFERROR($C6 * INDEX(tab_sazonalidade[[Jan]:[Dez]], MATCH($E6, tab_sazonalidade[Categoria], 0), MONTH($B6)), $C6)</f>
        <v>480.1</v>
      </c>
    </row>
    <row r="7" spans="1:10" x14ac:dyDescent="0.3">
      <c r="A7" s="12" t="s">
        <v>11</v>
      </c>
      <c r="B7" s="61">
        <v>45693</v>
      </c>
      <c r="C7" s="76">
        <v>129.99</v>
      </c>
      <c r="D7" s="14" t="s">
        <v>47</v>
      </c>
      <c r="E7" s="64" t="str" cm="1">
        <f t="array" ref="E7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7" s="35" t="str">
        <f t="shared" ca="1" si="0"/>
        <v>Débito auto</v>
      </c>
      <c r="G7" s="76" cm="1">
        <f t="array" ref="G7">IFERROR($C7 * INDEX(tab_sazonalidade[[Jan]:[Dez]], MATCH($E7, tab_sazonalidade[Categoria], 0), MONTH($B7)), $C7)</f>
        <v>136.48950000000002</v>
      </c>
    </row>
    <row r="8" spans="1:10" x14ac:dyDescent="0.3">
      <c r="A8" s="12" t="s">
        <v>12</v>
      </c>
      <c r="B8" s="61">
        <v>45693</v>
      </c>
      <c r="C8" s="75">
        <v>98.3</v>
      </c>
      <c r="D8" s="14" t="s">
        <v>47</v>
      </c>
      <c r="E8" s="63" t="str" cm="1">
        <f t="array" ref="E8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Saneamento</v>
      </c>
      <c r="F8" s="34" t="str">
        <f t="shared" ca="1" si="0"/>
        <v>Débito auto</v>
      </c>
      <c r="G8" s="75" cm="1">
        <f t="array" ref="G8">IFERROR($C8 * INDEX(tab_sazonalidade[[Jan]:[Dez]], MATCH($E8, tab_sazonalidade[Categoria], 0), MONTH($B8)), $C8)</f>
        <v>98.3</v>
      </c>
    </row>
    <row r="9" spans="1:10" x14ac:dyDescent="0.3">
      <c r="A9" s="12" t="s">
        <v>17</v>
      </c>
      <c r="B9" s="61">
        <v>45698</v>
      </c>
      <c r="C9" s="75">
        <v>166.66</v>
      </c>
      <c r="D9" s="14" t="s">
        <v>47</v>
      </c>
      <c r="E9" s="63" t="str" cm="1">
        <f t="array" ref="E9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9" s="34" t="str">
        <f t="shared" ca="1" si="0"/>
        <v>Boleto</v>
      </c>
      <c r="G9" s="75" cm="1">
        <f t="array" ref="G9">IFERROR($C9 * INDEX(tab_sazonalidade[[Jan]:[Dez]], MATCH($E9, tab_sazonalidade[Categoria], 0), MONTH($B9)), $C9)</f>
        <v>183.32600000000002</v>
      </c>
    </row>
    <row r="10" spans="1:10" x14ac:dyDescent="0.3">
      <c r="A10" s="12" t="s">
        <v>14</v>
      </c>
      <c r="B10" s="61">
        <v>45700</v>
      </c>
      <c r="C10" s="75">
        <v>119</v>
      </c>
      <c r="D10" s="14" t="s">
        <v>47</v>
      </c>
      <c r="E10" s="63" t="str" cm="1">
        <f t="array" ref="E10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0" s="34" t="str">
        <f t="shared" ca="1" si="0"/>
        <v>PIX</v>
      </c>
      <c r="G10" s="75" cm="1">
        <f t="array" ref="G10">IFERROR($C10 * INDEX(tab_sazonalidade[[Jan]:[Dez]], MATCH($E10, tab_sazonalidade[Categoria], 0), MONTH($B10)), $C10)</f>
        <v>124.95</v>
      </c>
    </row>
    <row r="11" spans="1:10" x14ac:dyDescent="0.3">
      <c r="A11" s="12" t="s">
        <v>15</v>
      </c>
      <c r="B11" s="62">
        <v>45703</v>
      </c>
      <c r="C11" s="77">
        <v>3442</v>
      </c>
      <c r="D11" s="14" t="s">
        <v>4</v>
      </c>
      <c r="E11" s="64" t="str" cm="1">
        <f t="array" ref="E11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Transferência</v>
      </c>
      <c r="F11" s="35" t="str">
        <f t="shared" ca="1" si="0"/>
        <v>PIX</v>
      </c>
      <c r="G11" s="77" cm="1">
        <f t="array" ref="G11">IFERROR($C11 * INDEX(tab_sazonalidade[[Jan]:[Dez]], MATCH($E11, tab_sazonalidade[Categoria], 0), MONTH($B11)), $C11)</f>
        <v>3442</v>
      </c>
    </row>
    <row r="12" spans="1:10" x14ac:dyDescent="0.3">
      <c r="A12" s="16" t="s">
        <v>16</v>
      </c>
      <c r="B12" s="62">
        <v>45703</v>
      </c>
      <c r="C12" s="77">
        <v>807</v>
      </c>
      <c r="D12" s="14" t="s">
        <v>47</v>
      </c>
      <c r="E12" s="64" t="str" cm="1">
        <f t="array" ref="E12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Assessoria</v>
      </c>
      <c r="F12" s="35" t="str">
        <f t="shared" ca="1" si="0"/>
        <v>PIX</v>
      </c>
      <c r="G12" s="77" cm="1">
        <f t="array" ref="G12">IFERROR($C12 * INDEX(tab_sazonalidade[[Jan]:[Dez]], MATCH($E12, tab_sazonalidade[Categoria], 0), MONTH($B12)), $C12)</f>
        <v>807</v>
      </c>
    </row>
    <row r="13" spans="1:10" x14ac:dyDescent="0.3">
      <c r="A13" s="16" t="s">
        <v>13</v>
      </c>
      <c r="B13" s="62">
        <v>45708</v>
      </c>
      <c r="C13" s="77">
        <v>500.16</v>
      </c>
      <c r="D13" s="14" t="s">
        <v>47</v>
      </c>
      <c r="E13" s="64" t="str" cm="1">
        <f t="array" ref="E13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Encargos Trabalhistas</v>
      </c>
      <c r="F13" s="35" t="str">
        <f t="shared" ca="1" si="0"/>
        <v>Boleto</v>
      </c>
      <c r="G13" s="77" cm="1">
        <f t="array" ref="G13">IFERROR($C13 * INDEX(tab_sazonalidade[[Jan]:[Dez]], MATCH($E13, tab_sazonalidade[Categoria], 0), MONTH($B13)), $C13)</f>
        <v>500.16</v>
      </c>
    </row>
    <row r="14" spans="1:10" x14ac:dyDescent="0.3">
      <c r="A14" s="16" t="s">
        <v>18</v>
      </c>
      <c r="B14" s="62">
        <v>45708</v>
      </c>
      <c r="C14" s="77">
        <v>893.17</v>
      </c>
      <c r="D14" s="14" t="s">
        <v>47</v>
      </c>
      <c r="E14" s="64" t="str" cm="1">
        <f t="array" ref="E14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4" s="35" t="str">
        <f t="shared" ca="1" si="0"/>
        <v>Boleto</v>
      </c>
      <c r="G14" s="77" cm="1">
        <f t="array" ref="G14">IFERROR($C14 * INDEX(tab_sazonalidade[[Jan]:[Dez]], MATCH($E14, tab_sazonalidade[Categoria], 0), MONTH($B14)), $C14)</f>
        <v>893.17</v>
      </c>
    </row>
    <row r="15" spans="1:10" x14ac:dyDescent="0.3">
      <c r="A15" s="16" t="s">
        <v>19</v>
      </c>
      <c r="B15" s="62">
        <v>45708</v>
      </c>
      <c r="C15" s="77">
        <v>994.32</v>
      </c>
      <c r="D15" s="14" t="s">
        <v>47</v>
      </c>
      <c r="E15" s="64" t="str" cm="1">
        <f t="array" ref="E15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5" s="35" t="str">
        <f t="shared" ca="1" si="0"/>
        <v>Débito auto</v>
      </c>
      <c r="G15" s="77" cm="1">
        <f t="array" ref="G15">IFERROR($C15 * INDEX(tab_sazonalidade[[Jan]:[Dez]], MATCH($E15, tab_sazonalidade[Categoria], 0), MONTH($B15)), $C15)</f>
        <v>994.32</v>
      </c>
    </row>
    <row r="16" spans="1:10" x14ac:dyDescent="0.3">
      <c r="A16" s="16" t="s">
        <v>20</v>
      </c>
      <c r="B16" s="62">
        <v>45713</v>
      </c>
      <c r="C16" s="77">
        <v>269.76</v>
      </c>
      <c r="D16" s="14" t="s">
        <v>47</v>
      </c>
      <c r="E16" s="64" t="str" cm="1">
        <f t="array" ref="E16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Comunicação</v>
      </c>
      <c r="F16" s="35" t="str">
        <f t="shared" ca="1" si="0"/>
        <v>Boleto</v>
      </c>
      <c r="G16" s="77" cm="1">
        <f t="array" ref="G16">IFERROR($C16 * INDEX(tab_sazonalidade[[Jan]:[Dez]], MATCH($E16, tab_sazonalidade[Categoria], 0), MONTH($B16)), $C16)</f>
        <v>283.24799999999999</v>
      </c>
    </row>
    <row r="17" spans="1:7" x14ac:dyDescent="0.3">
      <c r="A17" s="16" t="s">
        <v>21</v>
      </c>
      <c r="B17" s="62">
        <v>45713</v>
      </c>
      <c r="C17" s="77">
        <v>153.85</v>
      </c>
      <c r="D17" s="14" t="s">
        <v>47</v>
      </c>
      <c r="E17" s="64" t="str" cm="1">
        <f t="array" ref="E17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Tributos</v>
      </c>
      <c r="F17" s="35" t="str">
        <f t="shared" ca="1" si="0"/>
        <v>Débito auto</v>
      </c>
      <c r="G17" s="77" cm="1">
        <f t="array" ref="G17">IFERROR($C17 * INDEX(tab_sazonalidade[[Jan]:[Dez]], MATCH($E17, tab_sazonalidade[Categoria], 0), MONTH($B17)), $C17)</f>
        <v>153.85</v>
      </c>
    </row>
    <row r="18" spans="1:7" x14ac:dyDescent="0.3">
      <c r="A18" s="16" t="s">
        <v>22</v>
      </c>
      <c r="B18" s="62">
        <v>45713</v>
      </c>
      <c r="C18" s="78">
        <v>73</v>
      </c>
      <c r="D18" s="14" t="s">
        <v>47</v>
      </c>
      <c r="E18" s="65" t="str" cm="1">
        <f t="array" ref="E18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Segurança</v>
      </c>
      <c r="F18" s="69" t="str">
        <f t="shared" ca="1" si="0"/>
        <v>Boleto</v>
      </c>
      <c r="G18" s="78" cm="1">
        <f t="array" ref="G18">IFERROR($C18 * INDEX(tab_sazonalidade[[Jan]:[Dez]], MATCH($E18, tab_sazonalidade[Categoria], 0), MONTH($B18)), $C18)</f>
        <v>73</v>
      </c>
    </row>
    <row r="19" spans="1:7" x14ac:dyDescent="0.3">
      <c r="A19" s="16" t="s">
        <v>23</v>
      </c>
      <c r="B19" s="62">
        <v>45714</v>
      </c>
      <c r="C19" s="78">
        <v>700</v>
      </c>
      <c r="D19" s="14" t="s">
        <v>47</v>
      </c>
      <c r="E19" s="65" t="str" cm="1">
        <f t="array" ref="E19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19" s="69" t="str">
        <f t="shared" ca="1" si="0"/>
        <v>PIX</v>
      </c>
      <c r="G19" s="78" cm="1">
        <f t="array" ref="G19">IFERROR($C19 * INDEX(tab_sazonalidade[[Jan]:[Dez]], MATCH($E19, tab_sazonalidade[Categoria], 0), MONTH($B19)), $C19)</f>
        <v>770.00000000000011</v>
      </c>
    </row>
    <row r="20" spans="1:7" x14ac:dyDescent="0.3">
      <c r="A20" s="12" t="s">
        <v>24</v>
      </c>
      <c r="B20" s="61">
        <v>45715</v>
      </c>
      <c r="C20" s="28">
        <v>50</v>
      </c>
      <c r="D20" s="14" t="s">
        <v>47</v>
      </c>
      <c r="E20" s="66" t="str" cm="1">
        <f t="array" ref="E20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Transporte</v>
      </c>
      <c r="F20" s="70" t="str">
        <f t="shared" ca="1" si="0"/>
        <v>Boleto</v>
      </c>
      <c r="G20" s="28" cm="1">
        <f t="array" ref="G20">IFERROR($C20 * INDEX(tab_sazonalidade[[Jan]:[Dez]], MATCH($E20, tab_sazonalidade[Categoria], 0), MONTH($B20)), $C20)</f>
        <v>50</v>
      </c>
    </row>
    <row r="21" spans="1:7" x14ac:dyDescent="0.3">
      <c r="A21" s="16" t="s">
        <v>25</v>
      </c>
      <c r="B21" s="61">
        <v>45715</v>
      </c>
      <c r="C21" s="74">
        <v>277.51</v>
      </c>
      <c r="D21" s="14" t="s">
        <v>47</v>
      </c>
      <c r="E21" s="63" t="str" cm="1">
        <f t="array" ref="E21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Financeiro</v>
      </c>
      <c r="F21" s="34" t="str">
        <f t="shared" ca="1" si="0"/>
        <v>PIX</v>
      </c>
      <c r="G21" s="74" cm="1">
        <f t="array" ref="G21">IFERROR($C21 * INDEX(tab_sazonalidade[[Jan]:[Dez]], MATCH($E21, tab_sazonalidade[Categoria], 0), MONTH($B21)), $C21)</f>
        <v>277.51</v>
      </c>
    </row>
    <row r="22" spans="1:7" x14ac:dyDescent="0.3">
      <c r="A22" s="12" t="s">
        <v>26</v>
      </c>
      <c r="B22" s="61">
        <v>45715</v>
      </c>
      <c r="C22" s="75">
        <v>281.87</v>
      </c>
      <c r="D22" s="14" t="s">
        <v>47</v>
      </c>
      <c r="E22" s="63" t="str" cm="1">
        <f t="array" ref="E22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2" s="34" t="str">
        <f t="shared" ca="1" si="0"/>
        <v>PIX</v>
      </c>
      <c r="G22" s="75" cm="1">
        <f t="array" ref="G22">IFERROR($C22 * INDEX(tab_sazonalidade[[Jan]:[Dez]], MATCH($E22, tab_sazonalidade[Categoria], 0), MONTH($B22)), $C22)</f>
        <v>281.87</v>
      </c>
    </row>
    <row r="23" spans="1:7" x14ac:dyDescent="0.3">
      <c r="A23" s="12" t="s">
        <v>27</v>
      </c>
      <c r="B23" s="61">
        <v>45715</v>
      </c>
      <c r="C23" s="74">
        <v>182.3</v>
      </c>
      <c r="D23" s="14" t="s">
        <v>47</v>
      </c>
      <c r="E23" s="63" t="str" cm="1">
        <f t="array" ref="E23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Suprimentos</v>
      </c>
      <c r="F23" s="34" t="str">
        <f t="shared" ca="1" si="0"/>
        <v>Débito auto</v>
      </c>
      <c r="G23" s="74" cm="1">
        <f t="array" ref="G23">IFERROR($C23 * INDEX(tab_sazonalidade[[Jan]:[Dez]], MATCH($E23, tab_sazonalidade[Categoria], 0), MONTH($B23)), $C23)</f>
        <v>182.3</v>
      </c>
    </row>
    <row r="24" spans="1:7" x14ac:dyDescent="0.3">
      <c r="A24" s="12" t="s">
        <v>121</v>
      </c>
      <c r="B24" s="61">
        <v>45715</v>
      </c>
      <c r="C24" s="74">
        <v>200</v>
      </c>
      <c r="D24" s="14" t="s">
        <v>47</v>
      </c>
      <c r="E24" s="67" t="str" cm="1">
        <f t="array" ref="E24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24" s="71" t="str">
        <f t="shared" ca="1" si="0"/>
        <v>PIX</v>
      </c>
      <c r="G24" s="74" cm="1">
        <f t="array" ref="G24">IFERROR($C24 * INDEX(tab_sazonalidade[[Jan]:[Dez]], MATCH($E24, tab_sazonalidade[Categoria], 0), MONTH($B24)), $C24)</f>
        <v>220.00000000000003</v>
      </c>
    </row>
    <row r="25" spans="1:7" x14ac:dyDescent="0.3">
      <c r="A25" s="12" t="s">
        <v>120</v>
      </c>
      <c r="B25" s="61">
        <v>45716</v>
      </c>
      <c r="C25" s="74">
        <v>100</v>
      </c>
      <c r="D25" s="14" t="s">
        <v>47</v>
      </c>
      <c r="E25" s="67" t="str" cm="1">
        <f t="array" ref="E25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Marketing</v>
      </c>
      <c r="F25" s="71" t="str">
        <f t="shared" ca="1" si="0"/>
        <v>Débito auto</v>
      </c>
      <c r="G25" s="74" cm="1">
        <f t="array" ref="G25">IFERROR($C25 * INDEX(tab_sazonalidade[[Jan]:[Dez]], MATCH($E25, tab_sazonalidade[Categoria], 0), MONTH($B25)), $C25)</f>
        <v>110.00000000000001</v>
      </c>
    </row>
    <row r="26" spans="1:7" x14ac:dyDescent="0.3">
      <c r="A26" s="12" t="s">
        <v>34</v>
      </c>
      <c r="B26" s="61">
        <v>45716</v>
      </c>
      <c r="C26" s="24">
        <v>1120</v>
      </c>
      <c r="D26" s="14" t="s">
        <v>47</v>
      </c>
      <c r="E26" s="66" t="str" cm="1">
        <f t="array" ref="E26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Manutenção</v>
      </c>
      <c r="F26" s="70" t="str">
        <f t="shared" ca="1" si="0"/>
        <v>Boleto</v>
      </c>
      <c r="G26" s="24" cm="1">
        <f t="array" ref="G26">IFERROR($C26 * INDEX(tab_sazonalidade[[Jan]:[Dez]], MATCH($E26, tab_sazonalidade[Categoria], 0), MONTH($B26)), $C26)</f>
        <v>1120</v>
      </c>
    </row>
    <row r="27" spans="1:7" x14ac:dyDescent="0.3">
      <c r="A27" s="12" t="s">
        <v>45</v>
      </c>
      <c r="B27" s="61">
        <v>45716</v>
      </c>
      <c r="C27" s="74">
        <v>190</v>
      </c>
      <c r="D27" s="14" t="s">
        <v>47</v>
      </c>
      <c r="E27" s="63" t="str" cm="1">
        <f t="array" ref="E27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Financeiro</v>
      </c>
      <c r="F27" s="34" t="str">
        <f t="shared" ca="1" si="0"/>
        <v>PIX</v>
      </c>
      <c r="G27" s="74" cm="1">
        <f t="array" ref="G27">IFERROR($C27 * INDEX(tab_sazonalidade[[Jan]:[Dez]], MATCH($E27, tab_sazonalidade[Categoria], 0), MONTH($B27)), $C27)</f>
        <v>190</v>
      </c>
    </row>
    <row r="28" spans="1:7" x14ac:dyDescent="0.3">
      <c r="A28" s="16" t="s">
        <v>31</v>
      </c>
      <c r="B28" s="61">
        <v>45716</v>
      </c>
      <c r="C28" s="74">
        <v>197.35</v>
      </c>
      <c r="D28" s="14" t="s">
        <v>47</v>
      </c>
      <c r="E28" s="63" t="str" cm="1">
        <f t="array" ref="E28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Alimentação</v>
      </c>
      <c r="F28" s="34" t="str">
        <f t="shared" ca="1" si="0"/>
        <v>Boleto</v>
      </c>
      <c r="G28" s="74" cm="1">
        <f t="array" ref="G28">IFERROR($C28 * INDEX(tab_sazonalidade[[Jan]:[Dez]], MATCH($E28, tab_sazonalidade[Categoria], 0), MONTH($B28)), $C28)</f>
        <v>207.2175</v>
      </c>
    </row>
    <row r="29" spans="1:7" x14ac:dyDescent="0.3">
      <c r="A29" s="16" t="s">
        <v>32</v>
      </c>
      <c r="B29" s="61">
        <v>45716</v>
      </c>
      <c r="C29" s="74">
        <v>340</v>
      </c>
      <c r="D29" s="14" t="s">
        <v>47</v>
      </c>
      <c r="E29" s="63" t="str" cm="1">
        <f t="array" ref="E29">_xlfn.LET(
    _xlpm.palavras, tab_categorias[Palavra-chave],
    _xlpm.categorias, tab_categorias[Categoria],
    _xlpm.texto, LOWER(TRIM(tab_fevereiro_25[[#This Row],[Item]])),
    _xlpm.posicoes, FIND(_xlpm.palavras, _xlpm.texto),
    _xlpm.valida, ISNUMBER(_xlpm.posicoes),
    _xlpm.índice_categoria, MATCH(TRUE,_xlpm.valida,0),
    INDEX(_xlpm.categorias, _xlpm.índice_categoria)
)</f>
        <v>Limpeza</v>
      </c>
      <c r="F29" s="34" t="str">
        <f t="shared" ca="1" si="0"/>
        <v>Boleto</v>
      </c>
      <c r="G29" s="74" cm="1">
        <f t="array" ref="G29">IFERROR($C29 * INDEX(tab_sazonalidade[[Jan]:[Dez]], MATCH($E29, tab_sazonalidade[Categoria], 0), MONTH($B29)), $C29)</f>
        <v>340</v>
      </c>
    </row>
    <row r="32" spans="1:7" x14ac:dyDescent="0.3">
      <c r="C32" s="79"/>
      <c r="D32" s="9"/>
      <c r="E32" s="68"/>
      <c r="F32" s="72"/>
      <c r="G32" s="79"/>
    </row>
  </sheetData>
  <dataValidations count="1">
    <dataValidation type="list" allowBlank="1" showInputMessage="1" showErrorMessage="1" sqref="D3:D29" xr:uid="{A975F0F6-6FBB-4D58-AC28-E6D9FF8142FC}">
      <formula1>"Despesa,Receita"</formula1>
    </dataValidation>
  </dataValidations>
  <pageMargins left="0.51180555555555596" right="0.51180555555555596" top="0.78749999999999998" bottom="0.78749999999999998" header="0.511811023622047" footer="0.511811023622047"/>
  <pageSetup paperSize="9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Parâmetros</vt:lpstr>
      <vt:lpstr>SETEMBRO 2024</vt:lpstr>
      <vt:lpstr>OUTUBRO 2024</vt:lpstr>
      <vt:lpstr>NOVEMBRO 2024</vt:lpstr>
      <vt:lpstr>DEZEMBRO 2024</vt:lpstr>
      <vt:lpstr>JANEIRO 2025</vt:lpstr>
      <vt:lpstr>FEVEREIRO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Leonardo da Cruz Alves</cp:lastModifiedBy>
  <cp:revision>40</cp:revision>
  <cp:lastPrinted>2025-04-30T20:03:50Z</cp:lastPrinted>
  <dcterms:created xsi:type="dcterms:W3CDTF">2021-01-27T12:04:19Z</dcterms:created>
  <dcterms:modified xsi:type="dcterms:W3CDTF">2025-05-18T17:42:15Z</dcterms:modified>
  <dc:language>pt-BR</dc:language>
</cp:coreProperties>
</file>